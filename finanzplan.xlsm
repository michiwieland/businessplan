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DieseArbeitsmappe"/>
  <mc:AlternateContent xmlns:mc="http://schemas.openxmlformats.org/markup-compatibility/2006">
    <mc:Choice Requires="x15">
      <x15ac:absPath xmlns:x15ac="http://schemas.microsoft.com/office/spreadsheetml/2010/11/ac" url="C:\Users\Administrator\Documents\BuPl\"/>
    </mc:Choice>
  </mc:AlternateContent>
  <workbookProtection workbookPassword="C857" lockStructure="1"/>
  <bookViews>
    <workbookView showSheetTabs="0" xWindow="675" yWindow="15" windowWidth="12345" windowHeight="6765" tabRatio="938" firstSheet="1" activeTab="2"/>
  </bookViews>
  <sheets>
    <sheet name="Hauptübersicht" sheetId="2" r:id="rId1"/>
    <sheet name="Input Eröffnungsbilanz" sheetId="3" r:id="rId2"/>
    <sheet name="Input Geschäftsgang" sheetId="1" r:id="rId3"/>
    <sheet name="Input Finanzierung" sheetId="5" r:id="rId4"/>
    <sheet name="Output Planbilanz" sheetId="6" r:id="rId5"/>
    <sheet name="Output Planerfolgsrechnung" sheetId="4" r:id="rId6"/>
    <sheet name="Output Mittelflussrechnung" sheetId="7" r:id="rId7"/>
    <sheet name="Output Kennzahlen" sheetId="8" r:id="rId8"/>
    <sheet name="Liquiditätsplan Jahr 1" sheetId="9" r:id="rId9"/>
    <sheet name="Liquiditätsplan Jahr 2" sheetId="10" r:id="rId10"/>
    <sheet name="Liquiditätsplan Jahr 3" sheetId="11" r:id="rId11"/>
    <sheet name="Liquiditätsplan Jahr 4" sheetId="12" r:id="rId12"/>
    <sheet name="Liquiditätsplan Jahr 5" sheetId="13" r:id="rId13"/>
  </sheets>
  <definedNames>
    <definedName name="_xlnm.Print_Area" localSheetId="0">Hauptübersicht!$A$1:$H$48</definedName>
    <definedName name="_xlnm.Print_Area" localSheetId="1">'Input Eröffnungsbilanz'!$C$1:$S$39</definedName>
    <definedName name="_xlnm.Print_Area" localSheetId="3">'Input Finanzierung'!$C$1:$M$32</definedName>
    <definedName name="_xlnm.Print_Area" localSheetId="2">'Input Geschäftsgang'!$C$1:$N$74</definedName>
    <definedName name="_xlnm.Print_Area" localSheetId="8">'Liquiditätsplan Jahr 1'!$C$2:$AK$38</definedName>
    <definedName name="_xlnm.Print_Area" localSheetId="9">'Liquiditätsplan Jahr 2'!$C$1:$AK$38</definedName>
    <definedName name="_xlnm.Print_Area" localSheetId="10">'Liquiditätsplan Jahr 3'!$C$1:$AK$38</definedName>
    <definedName name="_xlnm.Print_Area" localSheetId="11">'Liquiditätsplan Jahr 4'!$C$1:$AK$38</definedName>
    <definedName name="_xlnm.Print_Area" localSheetId="12">'Liquiditätsplan Jahr 5'!$C$1:$AK$38</definedName>
    <definedName name="_xlnm.Print_Area" localSheetId="7">'Output Kennzahlen'!$C$1:$M$25</definedName>
    <definedName name="_xlnm.Print_Area" localSheetId="6">'Output Mittelflussrechnung'!$C$1:$M$35</definedName>
    <definedName name="_xlnm.Print_Area" localSheetId="4">'Output Planbilanz'!$C$1:$O$35</definedName>
    <definedName name="_xlnm.Print_Area" localSheetId="5">'Output Planerfolgsrechnung'!$C$1:$M$26</definedName>
    <definedName name="_xlnm.Print_Titles" localSheetId="8">'Liquiditätsplan Jahr 1'!$C:$M</definedName>
    <definedName name="_xlnm.Print_Titles" localSheetId="9">'Liquiditätsplan Jahr 2'!$C:$M</definedName>
    <definedName name="_xlnm.Print_Titles" localSheetId="10">'Liquiditätsplan Jahr 3'!$C:$M</definedName>
    <definedName name="_xlnm.Print_Titles" localSheetId="11">'Liquiditätsplan Jahr 4'!$C:$M</definedName>
    <definedName name="_xlnm.Print_Titles" localSheetId="12">'Liquiditätsplan Jahr 5'!$C:$M</definedName>
  </definedNames>
  <calcPr calcId="171027"/>
</workbook>
</file>

<file path=xl/calcChain.xml><?xml version="1.0" encoding="utf-8"?>
<calcChain xmlns="http://schemas.openxmlformats.org/spreadsheetml/2006/main">
  <c r="I23" i="1" l="1"/>
  <c r="I17" i="1"/>
  <c r="G17" i="1"/>
  <c r="E17" i="1"/>
  <c r="M13" i="2" l="1"/>
  <c r="N13" i="2" s="1"/>
  <c r="K16" i="2"/>
  <c r="D45" i="2" s="1"/>
  <c r="K14" i="2"/>
  <c r="D41" i="2" s="1"/>
  <c r="C3" i="3"/>
  <c r="D11" i="3"/>
  <c r="I33" i="3" s="1"/>
  <c r="M29" i="3"/>
  <c r="O29" i="3" s="1"/>
  <c r="M15" i="3"/>
  <c r="O15" i="3" s="1"/>
  <c r="Q15" i="3" s="1"/>
  <c r="S15" i="3" s="1"/>
  <c r="D17" i="3"/>
  <c r="D23" i="3" s="1"/>
  <c r="E22" i="3" s="1"/>
  <c r="D22" i="3"/>
  <c r="D30" i="3"/>
  <c r="D34" i="3"/>
  <c r="D38" i="3"/>
  <c r="E26" i="3"/>
  <c r="C2" i="5"/>
  <c r="C15" i="5"/>
  <c r="D27" i="6"/>
  <c r="E24" i="5" s="1"/>
  <c r="D23" i="6"/>
  <c r="D19" i="5" s="1"/>
  <c r="D8" i="6"/>
  <c r="D12" i="6" s="1"/>
  <c r="D31" i="6"/>
  <c r="D32" i="6"/>
  <c r="E38" i="1"/>
  <c r="D8" i="4" s="1"/>
  <c r="E11" i="4" s="1"/>
  <c r="E18" i="1"/>
  <c r="E28" i="1" s="1"/>
  <c r="F28" i="1" s="1"/>
  <c r="E39" i="1"/>
  <c r="D9" i="4" s="1"/>
  <c r="E20" i="1"/>
  <c r="E41" i="1"/>
  <c r="D11" i="4" s="1"/>
  <c r="I16" i="9" s="1"/>
  <c r="E22" i="1"/>
  <c r="E42" i="1"/>
  <c r="D12" i="4" s="1"/>
  <c r="E24" i="1"/>
  <c r="E43" i="1"/>
  <c r="D13" i="4"/>
  <c r="I18" i="9" s="1"/>
  <c r="E26" i="1"/>
  <c r="E44" i="1"/>
  <c r="D14" i="4" s="1"/>
  <c r="D14" i="6"/>
  <c r="D16" i="4" s="1"/>
  <c r="D15" i="6"/>
  <c r="D17" i="4"/>
  <c r="E17" i="4" s="1"/>
  <c r="D16" i="6"/>
  <c r="D18" i="4"/>
  <c r="E48" i="1"/>
  <c r="E49" i="1"/>
  <c r="E59" i="1"/>
  <c r="E66" i="1"/>
  <c r="E73" i="1"/>
  <c r="D28" i="6"/>
  <c r="F28" i="6" s="1"/>
  <c r="D9" i="6"/>
  <c r="D10" i="6"/>
  <c r="D11" i="6"/>
  <c r="D22" i="6"/>
  <c r="D24" i="6"/>
  <c r="D25" i="6" s="1"/>
  <c r="D19" i="7"/>
  <c r="E19" i="7" s="1"/>
  <c r="D20" i="7"/>
  <c r="E20" i="7" s="1"/>
  <c r="D21" i="7"/>
  <c r="E21" i="7" s="1"/>
  <c r="E47" i="1"/>
  <c r="G16" i="1"/>
  <c r="G38" i="1"/>
  <c r="F8" i="4" s="1"/>
  <c r="G8" i="4" s="1"/>
  <c r="G27" i="8" s="1"/>
  <c r="G39" i="1"/>
  <c r="F9" i="4" s="1"/>
  <c r="G20" i="1"/>
  <c r="G41" i="1"/>
  <c r="F11" i="4" s="1"/>
  <c r="I16" i="10" s="1"/>
  <c r="G42" i="1"/>
  <c r="F12" i="4" s="1"/>
  <c r="I17" i="10" s="1"/>
  <c r="G24" i="1"/>
  <c r="G43" i="1"/>
  <c r="F13" i="4" s="1"/>
  <c r="G13" i="4" s="1"/>
  <c r="G26" i="1"/>
  <c r="G44" i="1"/>
  <c r="F14" i="4" s="1"/>
  <c r="G14" i="4" s="1"/>
  <c r="E58" i="1"/>
  <c r="E65" i="1"/>
  <c r="E72" i="1"/>
  <c r="G48" i="1"/>
  <c r="G49" i="1"/>
  <c r="G59" i="1"/>
  <c r="G66" i="1"/>
  <c r="G73" i="1"/>
  <c r="G47" i="1"/>
  <c r="F19" i="7"/>
  <c r="F20" i="7"/>
  <c r="F21" i="7"/>
  <c r="I38" i="1"/>
  <c r="H8" i="4" s="1"/>
  <c r="I8" i="4" s="1"/>
  <c r="I27" i="8" s="1"/>
  <c r="I42" i="1"/>
  <c r="H12" i="4" s="1"/>
  <c r="I17" i="11" s="1"/>
  <c r="K17" i="11" s="1"/>
  <c r="I43" i="1"/>
  <c r="H13" i="4" s="1"/>
  <c r="I18" i="11" s="1"/>
  <c r="I44" i="1"/>
  <c r="H14" i="4"/>
  <c r="I14" i="4" s="1"/>
  <c r="G58" i="1"/>
  <c r="G65" i="1"/>
  <c r="G72" i="1"/>
  <c r="I48" i="1"/>
  <c r="I49" i="1"/>
  <c r="I59" i="1"/>
  <c r="I66" i="1"/>
  <c r="H23" i="4"/>
  <c r="I73" i="1"/>
  <c r="I47" i="1"/>
  <c r="H19" i="7"/>
  <c r="H20" i="7"/>
  <c r="H21" i="7"/>
  <c r="K38" i="1"/>
  <c r="K39" i="1"/>
  <c r="J9" i="4"/>
  <c r="L11" i="6" s="1"/>
  <c r="K41" i="1"/>
  <c r="J11" i="4"/>
  <c r="K42" i="1"/>
  <c r="J12" i="4"/>
  <c r="K43" i="1"/>
  <c r="J13" i="4" s="1"/>
  <c r="K44" i="1"/>
  <c r="J14" i="4" s="1"/>
  <c r="I58" i="1"/>
  <c r="I65" i="1"/>
  <c r="I72" i="1"/>
  <c r="K48" i="1"/>
  <c r="K49" i="1"/>
  <c r="K59" i="1"/>
  <c r="K66" i="1"/>
  <c r="K73" i="1"/>
  <c r="K47" i="1"/>
  <c r="J19" i="7"/>
  <c r="J20" i="7"/>
  <c r="J21" i="7"/>
  <c r="M38" i="1"/>
  <c r="M44" i="1"/>
  <c r="L14" i="4" s="1"/>
  <c r="K58" i="1"/>
  <c r="K65" i="1"/>
  <c r="K72" i="1"/>
  <c r="M48" i="1"/>
  <c r="M49" i="1"/>
  <c r="M59" i="1"/>
  <c r="M66" i="1"/>
  <c r="M73" i="1"/>
  <c r="L23" i="4"/>
  <c r="M47" i="1"/>
  <c r="L19" i="7"/>
  <c r="L20" i="7"/>
  <c r="L21" i="7"/>
  <c r="D24" i="1"/>
  <c r="D23" i="1"/>
  <c r="G2" i="1"/>
  <c r="C1" i="1"/>
  <c r="C12" i="1"/>
  <c r="G74" i="1"/>
  <c r="I74" i="1"/>
  <c r="K74" i="1"/>
  <c r="M74" i="1"/>
  <c r="E74" i="1"/>
  <c r="M72" i="1"/>
  <c r="M65" i="1"/>
  <c r="M58" i="1"/>
  <c r="L17" i="1"/>
  <c r="L19" i="1"/>
  <c r="L21" i="1"/>
  <c r="N17" i="1"/>
  <c r="N19" i="1"/>
  <c r="N21" i="1"/>
  <c r="G27" i="1"/>
  <c r="H27" i="1" s="1"/>
  <c r="I27" i="1"/>
  <c r="J27" i="1" s="1"/>
  <c r="K27" i="1"/>
  <c r="L27" i="1" s="1"/>
  <c r="M27" i="1"/>
  <c r="N27" i="1" s="1"/>
  <c r="E27" i="1"/>
  <c r="F27" i="1" s="1"/>
  <c r="N25" i="1"/>
  <c r="L25" i="1"/>
  <c r="J25" i="1"/>
  <c r="H25" i="1"/>
  <c r="F25" i="1"/>
  <c r="N23" i="1"/>
  <c r="L23" i="1"/>
  <c r="J23" i="1"/>
  <c r="H23" i="1"/>
  <c r="F23" i="1"/>
  <c r="J21" i="1"/>
  <c r="H21" i="1"/>
  <c r="F21" i="1"/>
  <c r="J19" i="1"/>
  <c r="H19" i="1"/>
  <c r="F19" i="1"/>
  <c r="J17" i="1"/>
  <c r="H17" i="1"/>
  <c r="F17" i="1"/>
  <c r="N15" i="1"/>
  <c r="L15" i="1"/>
  <c r="J15" i="1"/>
  <c r="H15" i="1"/>
  <c r="E64" i="1"/>
  <c r="E71" i="1"/>
  <c r="D18" i="9"/>
  <c r="C2" i="9"/>
  <c r="J10" i="9"/>
  <c r="J11" i="9"/>
  <c r="K11" i="9" s="1"/>
  <c r="J12" i="9"/>
  <c r="K12" i="9" s="1"/>
  <c r="J9" i="9"/>
  <c r="J15" i="9"/>
  <c r="J16" i="9"/>
  <c r="J17" i="9"/>
  <c r="J18" i="9"/>
  <c r="J19" i="9"/>
  <c r="J20" i="9"/>
  <c r="J21" i="9"/>
  <c r="J22" i="9"/>
  <c r="J23" i="9"/>
  <c r="K23" i="9" s="1"/>
  <c r="I37" i="9"/>
  <c r="AJ37" i="9" s="1"/>
  <c r="J37" i="9"/>
  <c r="K37" i="9" s="1"/>
  <c r="J27" i="9"/>
  <c r="J28" i="9"/>
  <c r="J29" i="9"/>
  <c r="J31" i="9"/>
  <c r="J32" i="9"/>
  <c r="J33" i="9"/>
  <c r="J34" i="9"/>
  <c r="K34" i="9"/>
  <c r="I31" i="9"/>
  <c r="J30" i="9"/>
  <c r="K30" i="9" s="1"/>
  <c r="I27" i="9"/>
  <c r="K27" i="9" s="1"/>
  <c r="K22" i="9"/>
  <c r="C6" i="9"/>
  <c r="L34" i="9"/>
  <c r="M34" i="9" s="1"/>
  <c r="L33" i="9"/>
  <c r="L32" i="9"/>
  <c r="L31" i="9"/>
  <c r="M31" i="9" s="1"/>
  <c r="L30" i="9"/>
  <c r="M30" i="9" s="1"/>
  <c r="L29" i="9"/>
  <c r="L28" i="9"/>
  <c r="L27" i="9"/>
  <c r="L23" i="9"/>
  <c r="M23" i="9" s="1"/>
  <c r="L22" i="9"/>
  <c r="M22" i="9" s="1"/>
  <c r="L21" i="9"/>
  <c r="L20" i="9"/>
  <c r="L19" i="9"/>
  <c r="L18" i="9"/>
  <c r="L17" i="9"/>
  <c r="L16" i="9"/>
  <c r="L15" i="9"/>
  <c r="L12" i="9"/>
  <c r="L11" i="9"/>
  <c r="M11" i="9" s="1"/>
  <c r="L10" i="9"/>
  <c r="L9" i="9"/>
  <c r="L24" i="9"/>
  <c r="L37" i="9"/>
  <c r="M37" i="9"/>
  <c r="M27" i="9"/>
  <c r="M12" i="9"/>
  <c r="N13" i="9"/>
  <c r="N24" i="9"/>
  <c r="P13" i="9"/>
  <c r="P24" i="9"/>
  <c r="R13" i="9"/>
  <c r="R24" i="9"/>
  <c r="T13" i="9"/>
  <c r="T24" i="9"/>
  <c r="V13" i="9"/>
  <c r="V24" i="9"/>
  <c r="X13" i="9"/>
  <c r="X24" i="9"/>
  <c r="X25" i="9" s="1"/>
  <c r="X35" i="9" s="1"/>
  <c r="Z13" i="9"/>
  <c r="Z24" i="9"/>
  <c r="Z25" i="9" s="1"/>
  <c r="Z35" i="9" s="1"/>
  <c r="AB13" i="9"/>
  <c r="AB24" i="9"/>
  <c r="AB25" i="9" s="1"/>
  <c r="AB35" i="9" s="1"/>
  <c r="AD13" i="9"/>
  <c r="AD24" i="9"/>
  <c r="AD25" i="9" s="1"/>
  <c r="AD35" i="9" s="1"/>
  <c r="AF13" i="9"/>
  <c r="AF24" i="9"/>
  <c r="AF25" i="9" s="1"/>
  <c r="AF35" i="9" s="1"/>
  <c r="AH13" i="9"/>
  <c r="AH24" i="9"/>
  <c r="AH25" i="9" s="1"/>
  <c r="AH35" i="9" s="1"/>
  <c r="AJ13" i="9"/>
  <c r="AJ24" i="9"/>
  <c r="AJ25" i="9" s="1"/>
  <c r="AJ35" i="9" s="1"/>
  <c r="O13" i="9"/>
  <c r="O24" i="9"/>
  <c r="Q8" i="9"/>
  <c r="Q13" i="9"/>
  <c r="Q24" i="9"/>
  <c r="S8" i="9"/>
  <c r="S13" i="9"/>
  <c r="S24" i="9"/>
  <c r="U8" i="9"/>
  <c r="U14" i="9" s="1"/>
  <c r="U13" i="9"/>
  <c r="U24" i="9"/>
  <c r="W8" i="9"/>
  <c r="W13" i="9"/>
  <c r="W24" i="9"/>
  <c r="Y8" i="9"/>
  <c r="Y13" i="9"/>
  <c r="Y24" i="9"/>
  <c r="AA8" i="9"/>
  <c r="AA13" i="9"/>
  <c r="AA24" i="9"/>
  <c r="AC8" i="9"/>
  <c r="AC13" i="9"/>
  <c r="AC24" i="9"/>
  <c r="AE8" i="9"/>
  <c r="AE14" i="9" s="1"/>
  <c r="AE13" i="9"/>
  <c r="AE24" i="9"/>
  <c r="AG8" i="9"/>
  <c r="AG13" i="9"/>
  <c r="AG24" i="9"/>
  <c r="AI8" i="9"/>
  <c r="AI13" i="9"/>
  <c r="AI24" i="9"/>
  <c r="AK8" i="9"/>
  <c r="AK13" i="9"/>
  <c r="AK25" i="9" s="1"/>
  <c r="AK35" i="9" s="1"/>
  <c r="AK24" i="9"/>
  <c r="Q37" i="9"/>
  <c r="S37" i="9" s="1"/>
  <c r="U37" i="9" s="1"/>
  <c r="W37" i="9" s="1"/>
  <c r="P37" i="9"/>
  <c r="R37" i="9" s="1"/>
  <c r="T37" i="9" s="1"/>
  <c r="V37" i="9" s="1"/>
  <c r="X37" i="9" s="1"/>
  <c r="Z37" i="9" s="1"/>
  <c r="AB37" i="9" s="1"/>
  <c r="AD37" i="9" s="1"/>
  <c r="AF37" i="9" s="1"/>
  <c r="AH37" i="9" s="1"/>
  <c r="AI25" i="9"/>
  <c r="AI35" i="9" s="1"/>
  <c r="AG25" i="9"/>
  <c r="AG35" i="9" s="1"/>
  <c r="AE25" i="9"/>
  <c r="AE35" i="9" s="1"/>
  <c r="AC25" i="9"/>
  <c r="AC35" i="9" s="1"/>
  <c r="AA25" i="9"/>
  <c r="AA35" i="9" s="1"/>
  <c r="Y25" i="9"/>
  <c r="Y35" i="9" s="1"/>
  <c r="W25" i="9"/>
  <c r="W35" i="9" s="1"/>
  <c r="U25" i="9"/>
  <c r="U35" i="9" s="1"/>
  <c r="S25" i="9"/>
  <c r="S35" i="9" s="1"/>
  <c r="Q25" i="9"/>
  <c r="Q35" i="9" s="1"/>
  <c r="O25" i="9"/>
  <c r="O35" i="9" s="1"/>
  <c r="P8" i="9"/>
  <c r="P14" i="9" s="1"/>
  <c r="P26" i="9" s="1"/>
  <c r="P36" i="9" s="1"/>
  <c r="P38" i="9" s="1"/>
  <c r="R8" i="9"/>
  <c r="T8" i="9"/>
  <c r="T14" i="9" s="1"/>
  <c r="T26" i="9" s="1"/>
  <c r="T36" i="9" s="1"/>
  <c r="V8" i="9"/>
  <c r="X8" i="9"/>
  <c r="X14" i="9" s="1"/>
  <c r="X26" i="9" s="1"/>
  <c r="X36" i="9" s="1"/>
  <c r="Z8" i="9"/>
  <c r="Z14" i="9" s="1"/>
  <c r="Z26" i="9" s="1"/>
  <c r="Z36" i="9" s="1"/>
  <c r="AB8" i="9"/>
  <c r="AB14" i="9" s="1"/>
  <c r="AB26" i="9" s="1"/>
  <c r="AB36" i="9" s="1"/>
  <c r="AD8" i="9"/>
  <c r="AD14" i="9" s="1"/>
  <c r="AF8" i="9"/>
  <c r="AF14" i="9" s="1"/>
  <c r="AF26" i="9" s="1"/>
  <c r="AF36" i="9" s="1"/>
  <c r="AH8" i="9"/>
  <c r="AH14" i="9" s="1"/>
  <c r="AJ8" i="9"/>
  <c r="AJ14" i="9" s="1"/>
  <c r="AJ26" i="9" s="1"/>
  <c r="D34" i="7"/>
  <c r="I33" i="9"/>
  <c r="K18" i="9"/>
  <c r="I17" i="9"/>
  <c r="D18" i="10"/>
  <c r="I31" i="10"/>
  <c r="I27" i="10"/>
  <c r="C2" i="10"/>
  <c r="J10" i="10"/>
  <c r="J11" i="10"/>
  <c r="J12" i="10"/>
  <c r="J9" i="10"/>
  <c r="J13" i="10" s="1"/>
  <c r="J15" i="10"/>
  <c r="J16" i="10"/>
  <c r="J17" i="10"/>
  <c r="J18" i="10"/>
  <c r="J19" i="10"/>
  <c r="J20" i="10"/>
  <c r="J21" i="10"/>
  <c r="J22" i="10"/>
  <c r="J23" i="10"/>
  <c r="I37" i="10"/>
  <c r="AJ37" i="10" s="1"/>
  <c r="J37" i="10"/>
  <c r="K37" i="10"/>
  <c r="J27" i="10"/>
  <c r="J28" i="10"/>
  <c r="J29" i="10"/>
  <c r="J31" i="10"/>
  <c r="K31" i="10" s="1"/>
  <c r="J32" i="10"/>
  <c r="J33" i="10"/>
  <c r="J34" i="10"/>
  <c r="K34" i="10"/>
  <c r="J30" i="10"/>
  <c r="K30" i="10" s="1"/>
  <c r="K27" i="10"/>
  <c r="K23" i="10"/>
  <c r="K22" i="10"/>
  <c r="K12" i="10"/>
  <c r="K11" i="10"/>
  <c r="C6" i="10"/>
  <c r="L34" i="10"/>
  <c r="M34" i="10" s="1"/>
  <c r="L33" i="10"/>
  <c r="L32" i="10"/>
  <c r="L31" i="10"/>
  <c r="L30" i="10"/>
  <c r="M30" i="10" s="1"/>
  <c r="L29" i="10"/>
  <c r="L28" i="10"/>
  <c r="L27" i="10"/>
  <c r="L23" i="10"/>
  <c r="M23" i="10" s="1"/>
  <c r="L22" i="10"/>
  <c r="L21" i="10"/>
  <c r="L20" i="10"/>
  <c r="L19" i="10"/>
  <c r="L18" i="10"/>
  <c r="L17" i="10"/>
  <c r="L16" i="10"/>
  <c r="L15" i="10"/>
  <c r="L24" i="10" s="1"/>
  <c r="L12" i="10"/>
  <c r="L11" i="10"/>
  <c r="M11" i="10" s="1"/>
  <c r="L10" i="10"/>
  <c r="L9" i="10"/>
  <c r="L13" i="10" s="1"/>
  <c r="L37" i="10"/>
  <c r="M37" i="10" s="1"/>
  <c r="M27" i="10"/>
  <c r="M22" i="10"/>
  <c r="M12" i="10"/>
  <c r="N13" i="10"/>
  <c r="N24" i="10"/>
  <c r="N25" i="10" s="1"/>
  <c r="N35" i="10" s="1"/>
  <c r="P13" i="10"/>
  <c r="P24" i="10"/>
  <c r="R13" i="10"/>
  <c r="R24" i="10"/>
  <c r="T13" i="10"/>
  <c r="T24" i="10"/>
  <c r="T25" i="10" s="1"/>
  <c r="T35" i="10" s="1"/>
  <c r="V13" i="10"/>
  <c r="V24" i="10"/>
  <c r="V25" i="10" s="1"/>
  <c r="V35" i="10" s="1"/>
  <c r="X13" i="10"/>
  <c r="X24" i="10"/>
  <c r="Z13" i="10"/>
  <c r="Z24" i="10"/>
  <c r="AB13" i="10"/>
  <c r="AB24" i="10"/>
  <c r="AB25" i="10" s="1"/>
  <c r="AB35" i="10" s="1"/>
  <c r="AD13" i="10"/>
  <c r="AD24" i="10"/>
  <c r="AD25" i="10" s="1"/>
  <c r="AD35" i="10" s="1"/>
  <c r="AF13" i="10"/>
  <c r="AF24" i="10"/>
  <c r="AH13" i="10"/>
  <c r="AH24" i="10"/>
  <c r="AJ13" i="10"/>
  <c r="AJ24" i="10"/>
  <c r="AJ25" i="10" s="1"/>
  <c r="AJ35" i="10" s="1"/>
  <c r="O13" i="10"/>
  <c r="O24" i="10"/>
  <c r="O25" i="10" s="1"/>
  <c r="O35" i="10" s="1"/>
  <c r="Q8" i="10"/>
  <c r="Q13" i="10"/>
  <c r="Q25" i="10" s="1"/>
  <c r="Q35" i="10" s="1"/>
  <c r="Q24" i="10"/>
  <c r="S8" i="10"/>
  <c r="S14" i="10" s="1"/>
  <c r="S13" i="10"/>
  <c r="S24" i="10"/>
  <c r="S25" i="10" s="1"/>
  <c r="S35" i="10" s="1"/>
  <c r="U8" i="10"/>
  <c r="U13" i="10"/>
  <c r="U24" i="10"/>
  <c r="W8" i="10"/>
  <c r="W14" i="10" s="1"/>
  <c r="W13" i="10"/>
  <c r="W24" i="10"/>
  <c r="W25" i="10" s="1"/>
  <c r="W35" i="10" s="1"/>
  <c r="Y8" i="10"/>
  <c r="Y13" i="10"/>
  <c r="Y25" i="10" s="1"/>
  <c r="Y35" i="10" s="1"/>
  <c r="Y24" i="10"/>
  <c r="AA8" i="10"/>
  <c r="AA14" i="10" s="1"/>
  <c r="AA13" i="10"/>
  <c r="AA24" i="10"/>
  <c r="AA25" i="10" s="1"/>
  <c r="AA35" i="10" s="1"/>
  <c r="AC8" i="10"/>
  <c r="AC13" i="10"/>
  <c r="AC24" i="10"/>
  <c r="AE8" i="10"/>
  <c r="AE14" i="10" s="1"/>
  <c r="AE13" i="10"/>
  <c r="AE24" i="10"/>
  <c r="AE25" i="10" s="1"/>
  <c r="AE35" i="10" s="1"/>
  <c r="AG8" i="10"/>
  <c r="AG13" i="10"/>
  <c r="AG25" i="10" s="1"/>
  <c r="AG35" i="10" s="1"/>
  <c r="AG24" i="10"/>
  <c r="AI8" i="10"/>
  <c r="AI14" i="10" s="1"/>
  <c r="AI13" i="10"/>
  <c r="AI24" i="10"/>
  <c r="AI25" i="10" s="1"/>
  <c r="AI35" i="10" s="1"/>
  <c r="AK8" i="10"/>
  <c r="AK13" i="10"/>
  <c r="AK24" i="10"/>
  <c r="Q37" i="10"/>
  <c r="S37" i="10" s="1"/>
  <c r="U37" i="10" s="1"/>
  <c r="W37" i="10" s="1"/>
  <c r="Y37" i="10" s="1"/>
  <c r="AA37" i="10" s="1"/>
  <c r="AC37" i="10" s="1"/>
  <c r="AE37" i="10" s="1"/>
  <c r="AG37" i="10" s="1"/>
  <c r="AI37" i="10" s="1"/>
  <c r="AK37" i="10" s="1"/>
  <c r="P37" i="10"/>
  <c r="R37" i="10" s="1"/>
  <c r="T37" i="10" s="1"/>
  <c r="V37" i="10" s="1"/>
  <c r="X37" i="10" s="1"/>
  <c r="Z37" i="10" s="1"/>
  <c r="AB37" i="10" s="1"/>
  <c r="AD37" i="10" s="1"/>
  <c r="AF37" i="10" s="1"/>
  <c r="AH37" i="10" s="1"/>
  <c r="AK25" i="10"/>
  <c r="AK35" i="10" s="1"/>
  <c r="AH25" i="10"/>
  <c r="AH35" i="10" s="1"/>
  <c r="AF25" i="10"/>
  <c r="AF35" i="10" s="1"/>
  <c r="AC25" i="10"/>
  <c r="AC35" i="10" s="1"/>
  <c r="Z25" i="10"/>
  <c r="Z35" i="10" s="1"/>
  <c r="X25" i="10"/>
  <c r="X35" i="10" s="1"/>
  <c r="U25" i="10"/>
  <c r="U35" i="10" s="1"/>
  <c r="R25" i="10"/>
  <c r="R35" i="10" s="1"/>
  <c r="P25" i="10"/>
  <c r="P35" i="10" s="1"/>
  <c r="P8" i="10"/>
  <c r="P14" i="10" s="1"/>
  <c r="P26" i="10" s="1"/>
  <c r="P36" i="10" s="1"/>
  <c r="P38" i="10" s="1"/>
  <c r="R8" i="10"/>
  <c r="R14" i="10" s="1"/>
  <c r="T8" i="10"/>
  <c r="T14" i="10" s="1"/>
  <c r="T26" i="10" s="1"/>
  <c r="T36" i="10" s="1"/>
  <c r="T38" i="10" s="1"/>
  <c r="V8" i="10"/>
  <c r="V14" i="10" s="1"/>
  <c r="X8" i="10"/>
  <c r="X14" i="10" s="1"/>
  <c r="Z8" i="10"/>
  <c r="Z14" i="10" s="1"/>
  <c r="AB8" i="10"/>
  <c r="AB14" i="10" s="1"/>
  <c r="AD8" i="10"/>
  <c r="AD14" i="10" s="1"/>
  <c r="AF8" i="10"/>
  <c r="AF14" i="10" s="1"/>
  <c r="AH8" i="10"/>
  <c r="AH14" i="10" s="1"/>
  <c r="AJ8" i="10"/>
  <c r="AJ14" i="10" s="1"/>
  <c r="F34" i="7"/>
  <c r="I33" i="10" s="1"/>
  <c r="D18" i="11"/>
  <c r="I31" i="11"/>
  <c r="M31" i="11" s="1"/>
  <c r="I27" i="11"/>
  <c r="C2" i="11"/>
  <c r="J10" i="11"/>
  <c r="J11" i="11"/>
  <c r="K11" i="11" s="1"/>
  <c r="J12" i="11"/>
  <c r="J9" i="11"/>
  <c r="J15" i="11"/>
  <c r="J16" i="11"/>
  <c r="J17" i="11"/>
  <c r="J18" i="11"/>
  <c r="J19" i="11"/>
  <c r="J20" i="11"/>
  <c r="J21" i="11"/>
  <c r="J22" i="11"/>
  <c r="K22" i="11" s="1"/>
  <c r="J23" i="11"/>
  <c r="I37" i="11"/>
  <c r="AJ37" i="11" s="1"/>
  <c r="J37" i="11"/>
  <c r="K37" i="11"/>
  <c r="J27" i="11"/>
  <c r="K27" i="11" s="1"/>
  <c r="J28" i="11"/>
  <c r="J29" i="11"/>
  <c r="J31" i="11"/>
  <c r="K31" i="11" s="1"/>
  <c r="J32" i="11"/>
  <c r="J33" i="11"/>
  <c r="J34" i="11"/>
  <c r="K34" i="11"/>
  <c r="J30" i="11"/>
  <c r="K30" i="11" s="1"/>
  <c r="K23" i="11"/>
  <c r="K12" i="11"/>
  <c r="C6" i="11"/>
  <c r="L34" i="11"/>
  <c r="L33" i="11"/>
  <c r="L32" i="11"/>
  <c r="L31" i="11"/>
  <c r="L30" i="11"/>
  <c r="L29" i="11"/>
  <c r="L28" i="11"/>
  <c r="L27" i="11"/>
  <c r="M27" i="11"/>
  <c r="L23" i="11"/>
  <c r="L22" i="11"/>
  <c r="L21" i="11"/>
  <c r="L20" i="11"/>
  <c r="L19" i="11"/>
  <c r="L18" i="11"/>
  <c r="L17" i="11"/>
  <c r="L16" i="11"/>
  <c r="L15" i="11"/>
  <c r="L24" i="11"/>
  <c r="L12" i="11"/>
  <c r="L11" i="11"/>
  <c r="L10" i="11"/>
  <c r="L9" i="11"/>
  <c r="L13" i="11" s="1"/>
  <c r="L37" i="11"/>
  <c r="M34" i="11"/>
  <c r="M30" i="11"/>
  <c r="M23" i="11"/>
  <c r="M22" i="11"/>
  <c r="M12" i="11"/>
  <c r="M11" i="11"/>
  <c r="N13" i="11"/>
  <c r="N24" i="11"/>
  <c r="N25" i="11" s="1"/>
  <c r="N35" i="11" s="1"/>
  <c r="P13" i="11"/>
  <c r="P24" i="11"/>
  <c r="P25" i="11" s="1"/>
  <c r="P35" i="11" s="1"/>
  <c r="R13" i="11"/>
  <c r="R24" i="11"/>
  <c r="R25" i="11" s="1"/>
  <c r="R35" i="11" s="1"/>
  <c r="T13" i="11"/>
  <c r="T24" i="11"/>
  <c r="T25" i="11" s="1"/>
  <c r="T35" i="11" s="1"/>
  <c r="V13" i="11"/>
  <c r="V24" i="11"/>
  <c r="V25" i="11" s="1"/>
  <c r="V35" i="11" s="1"/>
  <c r="X13" i="11"/>
  <c r="X24" i="11"/>
  <c r="X25" i="11" s="1"/>
  <c r="X35" i="11" s="1"/>
  <c r="Z13" i="11"/>
  <c r="Z24" i="11"/>
  <c r="Z25" i="11" s="1"/>
  <c r="Z35" i="11" s="1"/>
  <c r="AB13" i="11"/>
  <c r="AB24" i="11"/>
  <c r="AB25" i="11" s="1"/>
  <c r="AB35" i="11" s="1"/>
  <c r="AD13" i="11"/>
  <c r="AD24" i="11"/>
  <c r="AF13" i="11"/>
  <c r="AF24" i="11"/>
  <c r="AF25" i="11" s="1"/>
  <c r="AF35" i="11" s="1"/>
  <c r="AH13" i="11"/>
  <c r="AH24" i="11"/>
  <c r="AJ13" i="11"/>
  <c r="AJ24" i="11"/>
  <c r="AJ25" i="11" s="1"/>
  <c r="AJ35" i="11" s="1"/>
  <c r="O13" i="11"/>
  <c r="O24" i="11"/>
  <c r="Q8" i="11"/>
  <c r="Q13" i="11"/>
  <c r="Q24" i="11"/>
  <c r="S8" i="11"/>
  <c r="S13" i="11"/>
  <c r="S24" i="11"/>
  <c r="U8" i="11"/>
  <c r="U13" i="11"/>
  <c r="U24" i="11"/>
  <c r="W8" i="11"/>
  <c r="W14" i="11" s="1"/>
  <c r="W13" i="11"/>
  <c r="W24" i="11"/>
  <c r="Y8" i="11"/>
  <c r="Y13" i="11"/>
  <c r="Y24" i="11"/>
  <c r="AA8" i="11"/>
  <c r="AA14" i="11" s="1"/>
  <c r="AA13" i="11"/>
  <c r="AA24" i="11"/>
  <c r="AC8" i="11"/>
  <c r="AC13" i="11"/>
  <c r="AC24" i="11"/>
  <c r="AE8" i="11"/>
  <c r="AE14" i="11" s="1"/>
  <c r="AE13" i="11"/>
  <c r="AE24" i="11"/>
  <c r="AE25" i="11" s="1"/>
  <c r="AE35" i="11" s="1"/>
  <c r="AG8" i="11"/>
  <c r="AG13" i="11"/>
  <c r="AG24" i="11"/>
  <c r="AI8" i="11"/>
  <c r="AI14" i="11" s="1"/>
  <c r="AI13" i="11"/>
  <c r="AI24" i="11"/>
  <c r="AI25" i="11" s="1"/>
  <c r="AI35" i="11" s="1"/>
  <c r="AK8" i="11"/>
  <c r="AK13" i="11"/>
  <c r="AK24" i="11"/>
  <c r="Q37" i="11"/>
  <c r="S37" i="11" s="1"/>
  <c r="U37" i="11" s="1"/>
  <c r="W37" i="11" s="1"/>
  <c r="Y37" i="11" s="1"/>
  <c r="AA37" i="11" s="1"/>
  <c r="AC37" i="11" s="1"/>
  <c r="AE37" i="11" s="1"/>
  <c r="AG37" i="11" s="1"/>
  <c r="AI37" i="11" s="1"/>
  <c r="AK37" i="11" s="1"/>
  <c r="P37" i="11"/>
  <c r="R37" i="11" s="1"/>
  <c r="T37" i="11" s="1"/>
  <c r="V37" i="11" s="1"/>
  <c r="X37" i="11" s="1"/>
  <c r="Z37" i="11" s="1"/>
  <c r="AB37" i="11" s="1"/>
  <c r="AD37" i="11" s="1"/>
  <c r="AF37" i="11" s="1"/>
  <c r="AH37" i="11" s="1"/>
  <c r="AH25" i="11"/>
  <c r="AH35" i="11" s="1"/>
  <c r="AD25" i="11"/>
  <c r="AD35" i="11" s="1"/>
  <c r="AA25" i="11"/>
  <c r="AA35" i="11" s="1"/>
  <c r="Y25" i="11"/>
  <c r="Y35" i="11" s="1"/>
  <c r="W25" i="11"/>
  <c r="W35" i="11" s="1"/>
  <c r="U25" i="11"/>
  <c r="U35" i="11" s="1"/>
  <c r="S25" i="11"/>
  <c r="S35" i="11" s="1"/>
  <c r="Q25" i="11"/>
  <c r="Q35" i="11" s="1"/>
  <c r="O25" i="11"/>
  <c r="O35" i="11" s="1"/>
  <c r="P8" i="11"/>
  <c r="P14" i="11" s="1"/>
  <c r="R8" i="11"/>
  <c r="R14" i="11" s="1"/>
  <c r="R26" i="11" s="1"/>
  <c r="R36" i="11" s="1"/>
  <c r="T8" i="11"/>
  <c r="T14" i="11" s="1"/>
  <c r="V8" i="11"/>
  <c r="V14" i="11" s="1"/>
  <c r="V26" i="11" s="1"/>
  <c r="V36" i="11" s="1"/>
  <c r="V38" i="11" s="1"/>
  <c r="X8" i="11"/>
  <c r="X14" i="11" s="1"/>
  <c r="Z8" i="11"/>
  <c r="Z14" i="11" s="1"/>
  <c r="Z26" i="11" s="1"/>
  <c r="Z36" i="11" s="1"/>
  <c r="AB8" i="11"/>
  <c r="AB14" i="11" s="1"/>
  <c r="AD8" i="11"/>
  <c r="AD14" i="11" s="1"/>
  <c r="AD26" i="11" s="1"/>
  <c r="AD36" i="11" s="1"/>
  <c r="AD38" i="11" s="1"/>
  <c r="AF8" i="11"/>
  <c r="AF14" i="11" s="1"/>
  <c r="AH8" i="11"/>
  <c r="AH14" i="11" s="1"/>
  <c r="AH26" i="11" s="1"/>
  <c r="AH36" i="11" s="1"/>
  <c r="AJ8" i="11"/>
  <c r="AJ14" i="11" s="1"/>
  <c r="H34" i="7"/>
  <c r="I33" i="11" s="1"/>
  <c r="D18" i="12"/>
  <c r="C4" i="12"/>
  <c r="I31" i="12"/>
  <c r="I27" i="12"/>
  <c r="C2" i="12"/>
  <c r="J10" i="12"/>
  <c r="J11" i="12"/>
  <c r="J12" i="12"/>
  <c r="K12" i="12" s="1"/>
  <c r="J9" i="12"/>
  <c r="J15" i="12"/>
  <c r="J16" i="12"/>
  <c r="J17" i="12"/>
  <c r="J18" i="12"/>
  <c r="J19" i="12"/>
  <c r="J20" i="12"/>
  <c r="J21" i="12"/>
  <c r="J22" i="12"/>
  <c r="J23" i="12"/>
  <c r="K23" i="12" s="1"/>
  <c r="I37" i="12"/>
  <c r="AJ37" i="12" s="1"/>
  <c r="J37" i="12"/>
  <c r="K37" i="12" s="1"/>
  <c r="J27" i="12"/>
  <c r="J28" i="12"/>
  <c r="J29" i="12"/>
  <c r="J31" i="12"/>
  <c r="K31" i="12" s="1"/>
  <c r="J32" i="12"/>
  <c r="J33" i="12"/>
  <c r="J34" i="12"/>
  <c r="K34" i="12" s="1"/>
  <c r="J30" i="12"/>
  <c r="K30" i="12" s="1"/>
  <c r="K22" i="12"/>
  <c r="K11" i="12"/>
  <c r="C6" i="12"/>
  <c r="L34" i="12"/>
  <c r="M34" i="12" s="1"/>
  <c r="L33" i="12"/>
  <c r="L32" i="12"/>
  <c r="L31" i="12"/>
  <c r="M31" i="12" s="1"/>
  <c r="L30" i="12"/>
  <c r="M30" i="12" s="1"/>
  <c r="L29" i="12"/>
  <c r="L28" i="12"/>
  <c r="L27" i="12"/>
  <c r="L23" i="12"/>
  <c r="M23" i="12" s="1"/>
  <c r="L22" i="12"/>
  <c r="M22" i="12" s="1"/>
  <c r="L21" i="12"/>
  <c r="L20" i="12"/>
  <c r="L19" i="12"/>
  <c r="L18" i="12"/>
  <c r="L17" i="12"/>
  <c r="L16" i="12"/>
  <c r="L15" i="12"/>
  <c r="L12" i="12"/>
  <c r="L11" i="12"/>
  <c r="L10" i="12"/>
  <c r="L9" i="12"/>
  <c r="L24" i="12"/>
  <c r="L37" i="12"/>
  <c r="M37" i="12"/>
  <c r="M27" i="12"/>
  <c r="M12" i="12"/>
  <c r="M11" i="12"/>
  <c r="N13" i="12"/>
  <c r="N24" i="12"/>
  <c r="P13" i="12"/>
  <c r="P24" i="12"/>
  <c r="R13" i="12"/>
  <c r="R24" i="12"/>
  <c r="T13" i="12"/>
  <c r="T24" i="12"/>
  <c r="V13" i="12"/>
  <c r="V24" i="12"/>
  <c r="X13" i="12"/>
  <c r="X24" i="12"/>
  <c r="Z13" i="12"/>
  <c r="Z24" i="12"/>
  <c r="AB13" i="12"/>
  <c r="AB24" i="12"/>
  <c r="AD13" i="12"/>
  <c r="AD24" i="12"/>
  <c r="AF13" i="12"/>
  <c r="AF24" i="12"/>
  <c r="AH13" i="12"/>
  <c r="AH24" i="12"/>
  <c r="AJ13" i="12"/>
  <c r="AJ24" i="12"/>
  <c r="O13" i="12"/>
  <c r="O25" i="12" s="1"/>
  <c r="O24" i="12"/>
  <c r="Q8" i="12"/>
  <c r="Q14" i="12" s="1"/>
  <c r="Q13" i="12"/>
  <c r="Q24" i="12"/>
  <c r="Q25" i="12" s="1"/>
  <c r="S8" i="12"/>
  <c r="S13" i="12"/>
  <c r="S24" i="12"/>
  <c r="U8" i="12"/>
  <c r="U13" i="12"/>
  <c r="U24" i="12"/>
  <c r="W8" i="12"/>
  <c r="W13" i="12"/>
  <c r="W25" i="12" s="1"/>
  <c r="W24" i="12"/>
  <c r="Y8" i="12"/>
  <c r="Y13" i="12"/>
  <c r="Y24" i="12"/>
  <c r="AA8" i="12"/>
  <c r="AA13" i="12"/>
  <c r="AA24" i="12"/>
  <c r="AC8" i="12"/>
  <c r="AC14" i="12" s="1"/>
  <c r="AC13" i="12"/>
  <c r="AC24" i="12"/>
  <c r="AC25" i="12" s="1"/>
  <c r="AE8" i="12"/>
  <c r="AE13" i="12"/>
  <c r="AE25" i="12" s="1"/>
  <c r="AE24" i="12"/>
  <c r="AG8" i="12"/>
  <c r="AG14" i="12" s="1"/>
  <c r="AG13" i="12"/>
  <c r="AG24" i="12"/>
  <c r="AG25" i="12" s="1"/>
  <c r="AI8" i="12"/>
  <c r="AI13" i="12"/>
  <c r="AI24" i="12"/>
  <c r="AK8" i="12"/>
  <c r="AK14" i="12" s="1"/>
  <c r="AK13" i="12"/>
  <c r="AK24" i="12"/>
  <c r="Q37" i="12"/>
  <c r="S37" i="12" s="1"/>
  <c r="U37" i="12" s="1"/>
  <c r="W37" i="12" s="1"/>
  <c r="Y37" i="12"/>
  <c r="AA37" i="12" s="1"/>
  <c r="AC37" i="12" s="1"/>
  <c r="AE37" i="12" s="1"/>
  <c r="AG37" i="12" s="1"/>
  <c r="AI37" i="12" s="1"/>
  <c r="AK37" i="12" s="1"/>
  <c r="P37" i="12"/>
  <c r="R37" i="12"/>
  <c r="T37" i="12" s="1"/>
  <c r="V37" i="12" s="1"/>
  <c r="X37" i="12" s="1"/>
  <c r="Z37" i="12" s="1"/>
  <c r="AB37" i="12" s="1"/>
  <c r="AD37" i="12" s="1"/>
  <c r="AF37" i="12" s="1"/>
  <c r="AH37" i="12" s="1"/>
  <c r="AG35" i="12"/>
  <c r="AE35" i="12"/>
  <c r="AC35" i="12"/>
  <c r="W35" i="12"/>
  <c r="Q35" i="12"/>
  <c r="O35" i="12"/>
  <c r="P8" i="12"/>
  <c r="P14" i="12" s="1"/>
  <c r="P26" i="12" s="1"/>
  <c r="P36" i="12" s="1"/>
  <c r="P38" i="12" s="1"/>
  <c r="R8" i="12"/>
  <c r="R14" i="12" s="1"/>
  <c r="R26" i="12" s="1"/>
  <c r="R36" i="12" s="1"/>
  <c r="R38" i="12" s="1"/>
  <c r="T8" i="12"/>
  <c r="T14" i="12" s="1"/>
  <c r="T26" i="12" s="1"/>
  <c r="T36" i="12" s="1"/>
  <c r="T38" i="12" s="1"/>
  <c r="V8" i="12"/>
  <c r="V14" i="12" s="1"/>
  <c r="V26" i="12" s="1"/>
  <c r="V36" i="12" s="1"/>
  <c r="V38" i="12" s="1"/>
  <c r="X8" i="12"/>
  <c r="X14" i="12" s="1"/>
  <c r="X26" i="12" s="1"/>
  <c r="X36" i="12" s="1"/>
  <c r="X38" i="12" s="1"/>
  <c r="Z8" i="12"/>
  <c r="Z14" i="12" s="1"/>
  <c r="Z26" i="12" s="1"/>
  <c r="Z36" i="12" s="1"/>
  <c r="AB8" i="12"/>
  <c r="AB14" i="12" s="1"/>
  <c r="AB26" i="12" s="1"/>
  <c r="AB36" i="12" s="1"/>
  <c r="AB38" i="12" s="1"/>
  <c r="AD8" i="12"/>
  <c r="AD14" i="12" s="1"/>
  <c r="AD26" i="12" s="1"/>
  <c r="AD36" i="12" s="1"/>
  <c r="AF8" i="12"/>
  <c r="AF14" i="12" s="1"/>
  <c r="AF26" i="12" s="1"/>
  <c r="AF36" i="12" s="1"/>
  <c r="AH8" i="12"/>
  <c r="AH14" i="12" s="1"/>
  <c r="AH26" i="12" s="1"/>
  <c r="AH36" i="12" s="1"/>
  <c r="AJ8" i="12"/>
  <c r="AJ14" i="12" s="1"/>
  <c r="AJ26" i="12" s="1"/>
  <c r="J34" i="7"/>
  <c r="I33" i="12"/>
  <c r="M33" i="12" s="1"/>
  <c r="I18" i="12"/>
  <c r="M18" i="12" s="1"/>
  <c r="I17" i="12"/>
  <c r="I16" i="12"/>
  <c r="D18" i="13"/>
  <c r="I31" i="13"/>
  <c r="I27" i="13"/>
  <c r="C2" i="13"/>
  <c r="J10" i="13"/>
  <c r="J11" i="13"/>
  <c r="K11" i="13" s="1"/>
  <c r="J12" i="13"/>
  <c r="J9" i="13"/>
  <c r="J15" i="13"/>
  <c r="J16" i="13"/>
  <c r="J17" i="13"/>
  <c r="J18" i="13"/>
  <c r="J19" i="13"/>
  <c r="J20" i="13"/>
  <c r="J21" i="13"/>
  <c r="J22" i="13"/>
  <c r="K22" i="13" s="1"/>
  <c r="J23" i="13"/>
  <c r="K23" i="13" s="1"/>
  <c r="I37" i="13"/>
  <c r="AJ37" i="13" s="1"/>
  <c r="J37" i="13"/>
  <c r="J27" i="13"/>
  <c r="J28" i="13"/>
  <c r="J29" i="13"/>
  <c r="J31" i="13"/>
  <c r="J32" i="13"/>
  <c r="J33" i="13"/>
  <c r="J34" i="13"/>
  <c r="K34" i="13"/>
  <c r="J30" i="13"/>
  <c r="K30" i="13" s="1"/>
  <c r="K27" i="13"/>
  <c r="K12" i="13"/>
  <c r="C6" i="13"/>
  <c r="L34" i="13"/>
  <c r="M34" i="13" s="1"/>
  <c r="L33" i="13"/>
  <c r="L32" i="13"/>
  <c r="L31" i="13"/>
  <c r="L30" i="13"/>
  <c r="M30" i="13" s="1"/>
  <c r="L29" i="13"/>
  <c r="L28" i="13"/>
  <c r="L27" i="13"/>
  <c r="L23" i="13"/>
  <c r="L22" i="13"/>
  <c r="M22" i="13" s="1"/>
  <c r="L21" i="13"/>
  <c r="L20" i="13"/>
  <c r="L19" i="13"/>
  <c r="L18" i="13"/>
  <c r="L17" i="13"/>
  <c r="L16" i="13"/>
  <c r="L15" i="13"/>
  <c r="L12" i="13"/>
  <c r="M12" i="13" s="1"/>
  <c r="L11" i="13"/>
  <c r="M11" i="13" s="1"/>
  <c r="L10" i="13"/>
  <c r="L9" i="13"/>
  <c r="L13" i="13" s="1"/>
  <c r="L37" i="13"/>
  <c r="M23" i="13"/>
  <c r="N13" i="13"/>
  <c r="N25" i="13" s="1"/>
  <c r="N35" i="13" s="1"/>
  <c r="N24" i="13"/>
  <c r="P13" i="13"/>
  <c r="P24" i="13"/>
  <c r="P25" i="13" s="1"/>
  <c r="R13" i="13"/>
  <c r="R24" i="13"/>
  <c r="R25" i="13" s="1"/>
  <c r="R35" i="13" s="1"/>
  <c r="T13" i="13"/>
  <c r="T24" i="13"/>
  <c r="T25" i="13" s="1"/>
  <c r="V13" i="13"/>
  <c r="V24" i="13"/>
  <c r="V25" i="13" s="1"/>
  <c r="V35" i="13" s="1"/>
  <c r="X13" i="13"/>
  <c r="X24" i="13"/>
  <c r="X25" i="13" s="1"/>
  <c r="X35" i="13" s="1"/>
  <c r="Z13" i="13"/>
  <c r="Z24" i="13"/>
  <c r="Z25" i="13" s="1"/>
  <c r="Z35" i="13" s="1"/>
  <c r="AB13" i="13"/>
  <c r="AB24" i="13"/>
  <c r="AB25" i="13" s="1"/>
  <c r="AB35" i="13" s="1"/>
  <c r="AD13" i="13"/>
  <c r="AD24" i="13"/>
  <c r="AD25" i="13" s="1"/>
  <c r="AF13" i="13"/>
  <c r="AF24" i="13"/>
  <c r="AF25" i="13" s="1"/>
  <c r="AH13" i="13"/>
  <c r="AH24" i="13"/>
  <c r="AH25" i="13" s="1"/>
  <c r="AJ13" i="13"/>
  <c r="AJ24" i="13"/>
  <c r="AJ25" i="13" s="1"/>
  <c r="O13" i="13"/>
  <c r="O24" i="13"/>
  <c r="Q8" i="13"/>
  <c r="Q13" i="13"/>
  <c r="Q24" i="13"/>
  <c r="S8" i="13"/>
  <c r="S13" i="13"/>
  <c r="S24" i="13"/>
  <c r="U8" i="13"/>
  <c r="U13" i="13"/>
  <c r="U24" i="13"/>
  <c r="W8" i="13"/>
  <c r="W14" i="13" s="1"/>
  <c r="W13" i="13"/>
  <c r="W24" i="13"/>
  <c r="W25" i="13" s="1"/>
  <c r="Y8" i="13"/>
  <c r="Y13" i="13"/>
  <c r="Y25" i="13" s="1"/>
  <c r="Y24" i="13"/>
  <c r="AA8" i="13"/>
  <c r="AA13" i="13"/>
  <c r="AA24" i="13"/>
  <c r="AC8" i="13"/>
  <c r="AC13" i="13"/>
  <c r="AC25" i="13" s="1"/>
  <c r="AC35" i="13" s="1"/>
  <c r="AC24" i="13"/>
  <c r="AE8" i="13"/>
  <c r="AE14" i="13" s="1"/>
  <c r="AE13" i="13"/>
  <c r="AE24" i="13"/>
  <c r="AE25" i="13" s="1"/>
  <c r="AE35" i="13" s="1"/>
  <c r="AG8" i="13"/>
  <c r="AG13" i="13"/>
  <c r="AG25" i="13" s="1"/>
  <c r="AG35" i="13" s="1"/>
  <c r="AG24" i="13"/>
  <c r="AI8" i="13"/>
  <c r="AI14" i="13" s="1"/>
  <c r="AI13" i="13"/>
  <c r="AI24" i="13"/>
  <c r="AI25" i="13" s="1"/>
  <c r="AI35" i="13" s="1"/>
  <c r="AK8" i="13"/>
  <c r="AK13" i="13"/>
  <c r="AK25" i="13" s="1"/>
  <c r="AK35" i="13" s="1"/>
  <c r="AK24" i="13"/>
  <c r="Q37" i="13"/>
  <c r="S37" i="13" s="1"/>
  <c r="U37" i="13" s="1"/>
  <c r="W37" i="13" s="1"/>
  <c r="Y37" i="13" s="1"/>
  <c r="AA37" i="13" s="1"/>
  <c r="AC37" i="13" s="1"/>
  <c r="AE37" i="13" s="1"/>
  <c r="AG37" i="13" s="1"/>
  <c r="AI37" i="13" s="1"/>
  <c r="AK37" i="13" s="1"/>
  <c r="P37" i="13"/>
  <c r="R37" i="13" s="1"/>
  <c r="T37" i="13" s="1"/>
  <c r="V37" i="13" s="1"/>
  <c r="X37" i="13" s="1"/>
  <c r="Z37" i="13" s="1"/>
  <c r="AB37" i="13" s="1"/>
  <c r="AD37" i="13" s="1"/>
  <c r="AF37" i="13" s="1"/>
  <c r="AH37" i="13" s="1"/>
  <c r="AJ35" i="13"/>
  <c r="AH35" i="13"/>
  <c r="AF35" i="13"/>
  <c r="AD35" i="13"/>
  <c r="Y35" i="13"/>
  <c r="W35" i="13"/>
  <c r="T35" i="13"/>
  <c r="P35" i="13"/>
  <c r="P8" i="13"/>
  <c r="P14" i="13" s="1"/>
  <c r="R8" i="13"/>
  <c r="R14" i="13" s="1"/>
  <c r="R26" i="13" s="1"/>
  <c r="R36" i="13" s="1"/>
  <c r="T8" i="13"/>
  <c r="T14" i="13" s="1"/>
  <c r="V8" i="13"/>
  <c r="V14" i="13" s="1"/>
  <c r="V26" i="13" s="1"/>
  <c r="V36" i="13" s="1"/>
  <c r="X8" i="13"/>
  <c r="X14" i="13" s="1"/>
  <c r="Z8" i="13"/>
  <c r="Z14" i="13" s="1"/>
  <c r="Z26" i="13" s="1"/>
  <c r="Z36" i="13" s="1"/>
  <c r="AB8" i="13"/>
  <c r="AB14" i="13" s="1"/>
  <c r="AD8" i="13"/>
  <c r="AD14" i="13" s="1"/>
  <c r="AD26" i="13" s="1"/>
  <c r="AD36" i="13" s="1"/>
  <c r="AF8" i="13"/>
  <c r="AF14" i="13" s="1"/>
  <c r="AH8" i="13"/>
  <c r="AH14" i="13" s="1"/>
  <c r="AH26" i="13" s="1"/>
  <c r="AH36" i="13" s="1"/>
  <c r="AJ8" i="13"/>
  <c r="AJ14" i="13" s="1"/>
  <c r="L34" i="7"/>
  <c r="I33" i="13" s="1"/>
  <c r="E9" i="8"/>
  <c r="G9" i="8"/>
  <c r="I9" i="8"/>
  <c r="K9" i="8"/>
  <c r="E10" i="8"/>
  <c r="G10" i="8"/>
  <c r="I10" i="8"/>
  <c r="K10" i="8"/>
  <c r="F11" i="8"/>
  <c r="H11" i="8"/>
  <c r="J11" i="8"/>
  <c r="L11" i="8"/>
  <c r="C2" i="8"/>
  <c r="L13" i="8"/>
  <c r="L12" i="8"/>
  <c r="J13" i="8"/>
  <c r="J12" i="8"/>
  <c r="H13" i="8"/>
  <c r="H12" i="8"/>
  <c r="F13" i="8"/>
  <c r="F12" i="8"/>
  <c r="D13" i="8"/>
  <c r="D12" i="8"/>
  <c r="D11" i="8"/>
  <c r="J18" i="8"/>
  <c r="L18" i="8"/>
  <c r="J7" i="4"/>
  <c r="F7" i="4"/>
  <c r="C2" i="7"/>
  <c r="C7" i="7"/>
  <c r="C30" i="7"/>
  <c r="C26" i="7"/>
  <c r="C31" i="7"/>
  <c r="C29" i="7"/>
  <c r="C21" i="7"/>
  <c r="C20" i="7"/>
  <c r="C19" i="7"/>
  <c r="C17" i="7"/>
  <c r="C16" i="7"/>
  <c r="C15" i="7"/>
  <c r="C14" i="7"/>
  <c r="C13" i="7"/>
  <c r="C11" i="7"/>
  <c r="C8" i="7"/>
  <c r="C2" i="6"/>
  <c r="N20" i="6"/>
  <c r="L20" i="6"/>
  <c r="J20" i="6"/>
  <c r="H20" i="6"/>
  <c r="F20" i="6"/>
  <c r="D20" i="6"/>
  <c r="N6" i="6"/>
  <c r="L6" i="6"/>
  <c r="J6" i="6"/>
  <c r="H6" i="6"/>
  <c r="F6" i="6"/>
  <c r="D6" i="6"/>
  <c r="O21" i="6"/>
  <c r="M21" i="6"/>
  <c r="K21" i="6"/>
  <c r="I21" i="6"/>
  <c r="G21" i="6"/>
  <c r="E21" i="6"/>
  <c r="C13" i="4"/>
  <c r="C2" i="4"/>
  <c r="C7" i="4"/>
  <c r="M23" i="4"/>
  <c r="M21" i="4"/>
  <c r="M14" i="4"/>
  <c r="K21" i="4"/>
  <c r="K14" i="4"/>
  <c r="K13" i="4"/>
  <c r="K12" i="4"/>
  <c r="K11" i="4"/>
  <c r="K9" i="4"/>
  <c r="I23" i="4"/>
  <c r="I21" i="4"/>
  <c r="I12" i="4"/>
  <c r="G21" i="4"/>
  <c r="G9" i="4"/>
  <c r="E21" i="4"/>
  <c r="E18" i="4"/>
  <c r="E13" i="4"/>
  <c r="K16" i="9"/>
  <c r="M16" i="9"/>
  <c r="H9" i="6"/>
  <c r="K17" i="9"/>
  <c r="E23" i="7"/>
  <c r="M17" i="12"/>
  <c r="M17" i="11"/>
  <c r="M33" i="11"/>
  <c r="L25" i="11"/>
  <c r="J13" i="11"/>
  <c r="K33" i="9"/>
  <c r="M33" i="9"/>
  <c r="Y37" i="9"/>
  <c r="AA37" i="9" s="1"/>
  <c r="AC37" i="9" s="1"/>
  <c r="AE37" i="9" s="1"/>
  <c r="L8" i="4"/>
  <c r="N9" i="6" s="1"/>
  <c r="M41" i="1"/>
  <c r="L11" i="4"/>
  <c r="M11" i="4" s="1"/>
  <c r="J10" i="7"/>
  <c r="K10" i="7" s="1"/>
  <c r="M42" i="1"/>
  <c r="L12" i="4" s="1"/>
  <c r="M12" i="4" s="1"/>
  <c r="J23" i="4"/>
  <c r="K23" i="4" s="1"/>
  <c r="H11" i="6"/>
  <c r="F10" i="4"/>
  <c r="G10" i="4" s="1"/>
  <c r="M43" i="1"/>
  <c r="L13" i="4" s="1"/>
  <c r="M13" i="4" s="1"/>
  <c r="I41" i="1"/>
  <c r="H11" i="4" s="1"/>
  <c r="I13" i="3"/>
  <c r="H10" i="7"/>
  <c r="I10" i="7" s="1"/>
  <c r="H24" i="4"/>
  <c r="I24" i="4" s="1"/>
  <c r="D25" i="3"/>
  <c r="F10" i="7"/>
  <c r="G10" i="7" s="1"/>
  <c r="I39" i="1"/>
  <c r="I18" i="13"/>
  <c r="L27" i="8"/>
  <c r="M8" i="4"/>
  <c r="M39" i="1"/>
  <c r="M40" i="1" s="1"/>
  <c r="M45" i="1" s="1"/>
  <c r="L35" i="11"/>
  <c r="H9" i="4"/>
  <c r="J11" i="6" s="1"/>
  <c r="I18" i="10" l="1"/>
  <c r="K18" i="10" s="1"/>
  <c r="I13" i="4"/>
  <c r="I9" i="4"/>
  <c r="K17" i="10"/>
  <c r="M17" i="10"/>
  <c r="G12" i="4"/>
  <c r="K18" i="11"/>
  <c r="M18" i="11"/>
  <c r="H10" i="4"/>
  <c r="I10" i="4" s="1"/>
  <c r="I40" i="1"/>
  <c r="I45" i="1" s="1"/>
  <c r="J9" i="6"/>
  <c r="H13" i="7" s="1"/>
  <c r="I13" i="7" s="1"/>
  <c r="H27" i="8"/>
  <c r="I9" i="11"/>
  <c r="M9" i="11" s="1"/>
  <c r="G40" i="1"/>
  <c r="G45" i="1" s="1"/>
  <c r="H10" i="6"/>
  <c r="G11" i="4"/>
  <c r="F15" i="4"/>
  <c r="F19" i="8" s="1"/>
  <c r="H24" i="6"/>
  <c r="F27" i="8"/>
  <c r="D39" i="3"/>
  <c r="C41" i="3" s="1"/>
  <c r="D29" i="6"/>
  <c r="F27" i="6"/>
  <c r="E16" i="4"/>
  <c r="F14" i="6"/>
  <c r="F16" i="4" s="1"/>
  <c r="G16" i="4" s="1"/>
  <c r="D17" i="6"/>
  <c r="E57" i="1"/>
  <c r="E12" i="4"/>
  <c r="E40" i="1"/>
  <c r="E45" i="1" s="1"/>
  <c r="E14" i="4"/>
  <c r="I16" i="11"/>
  <c r="H15" i="4"/>
  <c r="I15" i="4" s="1"/>
  <c r="L9" i="4"/>
  <c r="I16" i="13"/>
  <c r="M16" i="13" s="1"/>
  <c r="L19" i="8"/>
  <c r="AJ26" i="13"/>
  <c r="AF26" i="13"/>
  <c r="AF36" i="13" s="1"/>
  <c r="AF38" i="13" s="1"/>
  <c r="AB26" i="13"/>
  <c r="AB36" i="13" s="1"/>
  <c r="AB38" i="13" s="1"/>
  <c r="X26" i="13"/>
  <c r="X36" i="13" s="1"/>
  <c r="X38" i="13" s="1"/>
  <c r="T26" i="13"/>
  <c r="T36" i="13" s="1"/>
  <c r="T38" i="13" s="1"/>
  <c r="P26" i="13"/>
  <c r="P36" i="13" s="1"/>
  <c r="P38" i="13" s="1"/>
  <c r="AK14" i="13"/>
  <c r="AK26" i="13" s="1"/>
  <c r="AK36" i="13" s="1"/>
  <c r="AK38" i="13" s="1"/>
  <c r="AG14" i="13"/>
  <c r="AG26" i="13" s="1"/>
  <c r="AG36" i="13" s="1"/>
  <c r="AG38" i="13" s="1"/>
  <c r="AC14" i="13"/>
  <c r="AC26" i="13" s="1"/>
  <c r="AC36" i="13" s="1"/>
  <c r="AC38" i="13" s="1"/>
  <c r="AA25" i="13"/>
  <c r="AA35" i="13" s="1"/>
  <c r="U25" i="13"/>
  <c r="U35" i="13" s="1"/>
  <c r="U14" i="13"/>
  <c r="U26" i="13" s="1"/>
  <c r="U36" i="13" s="1"/>
  <c r="U38" i="13" s="1"/>
  <c r="S25" i="13"/>
  <c r="S35" i="13" s="1"/>
  <c r="Q25" i="13"/>
  <c r="Q35" i="13" s="1"/>
  <c r="Q14" i="13"/>
  <c r="Q26" i="13" s="1"/>
  <c r="Q36" i="13" s="1"/>
  <c r="Q38" i="13" s="1"/>
  <c r="O25" i="13"/>
  <c r="O35" i="13" s="1"/>
  <c r="L24" i="13"/>
  <c r="L25" i="13" s="1"/>
  <c r="L35" i="13" s="1"/>
  <c r="M18" i="13"/>
  <c r="M27" i="13"/>
  <c r="K18" i="13"/>
  <c r="J13" i="13"/>
  <c r="M31" i="13"/>
  <c r="AK26" i="12"/>
  <c r="AK36" i="12" s="1"/>
  <c r="AK38" i="12" s="1"/>
  <c r="AG26" i="12"/>
  <c r="AG36" i="12" s="1"/>
  <c r="AG38" i="12" s="1"/>
  <c r="AC26" i="12"/>
  <c r="AC36" i="12" s="1"/>
  <c r="AC38" i="12" s="1"/>
  <c r="Q26" i="12"/>
  <c r="Q36" i="12" s="1"/>
  <c r="Q38" i="12" s="1"/>
  <c r="K27" i="12"/>
  <c r="Z38" i="13"/>
  <c r="R38" i="13"/>
  <c r="W26" i="13"/>
  <c r="W36" i="13" s="1"/>
  <c r="W38" i="13" s="1"/>
  <c r="K17" i="12"/>
  <c r="J24" i="12"/>
  <c r="M16" i="10"/>
  <c r="K16" i="10"/>
  <c r="AK25" i="12"/>
  <c r="AK35" i="12" s="1"/>
  <c r="AI25" i="12"/>
  <c r="AI35" i="12" s="1"/>
  <c r="AI14" i="12"/>
  <c r="AI26" i="12" s="1"/>
  <c r="AI36" i="12" s="1"/>
  <c r="AI38" i="12" s="1"/>
  <c r="AA25" i="12"/>
  <c r="AA35" i="12" s="1"/>
  <c r="AA14" i="12"/>
  <c r="AA26" i="12" s="1"/>
  <c r="AA36" i="12" s="1"/>
  <c r="AA38" i="12" s="1"/>
  <c r="Y25" i="12"/>
  <c r="Y35" i="12" s="1"/>
  <c r="W14" i="12"/>
  <c r="W26" i="12" s="1"/>
  <c r="W36" i="12" s="1"/>
  <c r="W38" i="12" s="1"/>
  <c r="U25" i="12"/>
  <c r="U35" i="12" s="1"/>
  <c r="S25" i="12"/>
  <c r="S35" i="12" s="1"/>
  <c r="S14" i="12"/>
  <c r="S26" i="12" s="1"/>
  <c r="S36" i="12" s="1"/>
  <c r="S38" i="12" s="1"/>
  <c r="AJ25" i="12"/>
  <c r="AJ35" i="12" s="1"/>
  <c r="AH25" i="12"/>
  <c r="AH35" i="12" s="1"/>
  <c r="AF25" i="12"/>
  <c r="AF35" i="12" s="1"/>
  <c r="AD25" i="12"/>
  <c r="AD35" i="12" s="1"/>
  <c r="AB25" i="12"/>
  <c r="AB35" i="12" s="1"/>
  <c r="Z25" i="12"/>
  <c r="Z35" i="12" s="1"/>
  <c r="X25" i="12"/>
  <c r="X35" i="12" s="1"/>
  <c r="V25" i="12"/>
  <c r="V35" i="12" s="1"/>
  <c r="T25" i="12"/>
  <c r="T35" i="12" s="1"/>
  <c r="R25" i="12"/>
  <c r="R35" i="12" s="1"/>
  <c r="P25" i="12"/>
  <c r="P35" i="12" s="1"/>
  <c r="N25" i="12"/>
  <c r="N35" i="12" s="1"/>
  <c r="L13" i="12"/>
  <c r="L25" i="12" s="1"/>
  <c r="L35" i="12" s="1"/>
  <c r="K18" i="12"/>
  <c r="J13" i="12"/>
  <c r="AI26" i="11"/>
  <c r="AI36" i="11" s="1"/>
  <c r="AI38" i="11" s="1"/>
  <c r="AE26" i="11"/>
  <c r="AE36" i="11" s="1"/>
  <c r="AE38" i="11" s="1"/>
  <c r="AA26" i="11"/>
  <c r="AA36" i="11" s="1"/>
  <c r="AA38" i="11" s="1"/>
  <c r="W26" i="11"/>
  <c r="W36" i="11" s="1"/>
  <c r="W38" i="11" s="1"/>
  <c r="K33" i="11"/>
  <c r="L25" i="10"/>
  <c r="L35" i="10" s="1"/>
  <c r="J24" i="10"/>
  <c r="M31" i="10"/>
  <c r="AG14" i="9"/>
  <c r="AC14" i="9"/>
  <c r="Y14" i="9"/>
  <c r="Y26" i="9" s="1"/>
  <c r="Y36" i="9" s="1"/>
  <c r="Y38" i="9" s="1"/>
  <c r="W14" i="9"/>
  <c r="W26" i="9" s="1"/>
  <c r="W36" i="9" s="1"/>
  <c r="W38" i="9" s="1"/>
  <c r="L13" i="9"/>
  <c r="K31" i="9"/>
  <c r="J13" i="9"/>
  <c r="N10" i="6"/>
  <c r="M11" i="3"/>
  <c r="Q11" i="3"/>
  <c r="M14" i="2"/>
  <c r="K13" i="2"/>
  <c r="K15" i="2"/>
  <c r="K17" i="2"/>
  <c r="AJ26" i="11"/>
  <c r="AF26" i="11"/>
  <c r="AF36" i="11" s="1"/>
  <c r="AF38" i="11" s="1"/>
  <c r="AB26" i="11"/>
  <c r="AB36" i="11" s="1"/>
  <c r="AB38" i="11" s="1"/>
  <c r="X26" i="11"/>
  <c r="X36" i="11" s="1"/>
  <c r="X38" i="11" s="1"/>
  <c r="T26" i="11"/>
  <c r="T36" i="11" s="1"/>
  <c r="T38" i="11" s="1"/>
  <c r="P26" i="11"/>
  <c r="P36" i="11" s="1"/>
  <c r="P38" i="11" s="1"/>
  <c r="AK25" i="11"/>
  <c r="AK35" i="11" s="1"/>
  <c r="AK14" i="11"/>
  <c r="AK26" i="11" s="1"/>
  <c r="AK36" i="11" s="1"/>
  <c r="AK38" i="11" s="1"/>
  <c r="AG25" i="11"/>
  <c r="AG35" i="11" s="1"/>
  <c r="AG14" i="11"/>
  <c r="AG26" i="11" s="1"/>
  <c r="AG36" i="11" s="1"/>
  <c r="AG38" i="11" s="1"/>
  <c r="AC25" i="11"/>
  <c r="AC35" i="11" s="1"/>
  <c r="AC14" i="11"/>
  <c r="AC26" i="11" s="1"/>
  <c r="AC36" i="11" s="1"/>
  <c r="AC38" i="11" s="1"/>
  <c r="Y14" i="11"/>
  <c r="Y26" i="11" s="1"/>
  <c r="Y36" i="11" s="1"/>
  <c r="Y38" i="11" s="1"/>
  <c r="U14" i="11"/>
  <c r="U26" i="11" s="1"/>
  <c r="U36" i="11" s="1"/>
  <c r="U38" i="11" s="1"/>
  <c r="Q14" i="11"/>
  <c r="Q26" i="11" s="1"/>
  <c r="Q36" i="11" s="1"/>
  <c r="Q38" i="11" s="1"/>
  <c r="J24" i="11"/>
  <c r="J25" i="11" s="1"/>
  <c r="J35" i="11" s="1"/>
  <c r="AH26" i="10"/>
  <c r="AH36" i="10" s="1"/>
  <c r="AH38" i="10" s="1"/>
  <c r="AD26" i="10"/>
  <c r="AD36" i="10" s="1"/>
  <c r="AD38" i="10" s="1"/>
  <c r="Z26" i="10"/>
  <c r="Z36" i="10" s="1"/>
  <c r="Z38" i="10" s="1"/>
  <c r="V26" i="10"/>
  <c r="V36" i="10" s="1"/>
  <c r="V38" i="10" s="1"/>
  <c r="R26" i="10"/>
  <c r="R36" i="10" s="1"/>
  <c r="R38" i="10" s="1"/>
  <c r="AK14" i="10"/>
  <c r="AK26" i="10" s="1"/>
  <c r="AK36" i="10" s="1"/>
  <c r="AK38" i="10" s="1"/>
  <c r="AG14" i="10"/>
  <c r="AG26" i="10" s="1"/>
  <c r="AG36" i="10" s="1"/>
  <c r="AG38" i="10" s="1"/>
  <c r="AC14" i="10"/>
  <c r="AC26" i="10" s="1"/>
  <c r="AC36" i="10" s="1"/>
  <c r="AC38" i="10" s="1"/>
  <c r="Y14" i="10"/>
  <c r="Y26" i="10" s="1"/>
  <c r="Y36" i="10" s="1"/>
  <c r="Y38" i="10" s="1"/>
  <c r="U14" i="10"/>
  <c r="U26" i="10" s="1"/>
  <c r="U36" i="10" s="1"/>
  <c r="U38" i="10" s="1"/>
  <c r="Q14" i="10"/>
  <c r="Q26" i="10" s="1"/>
  <c r="Q36" i="10" s="1"/>
  <c r="Q38" i="10" s="1"/>
  <c r="AE26" i="9"/>
  <c r="AE36" i="9" s="1"/>
  <c r="S14" i="9"/>
  <c r="S26" i="9" s="1"/>
  <c r="S36" i="9" s="1"/>
  <c r="S38" i="9" s="1"/>
  <c r="J15" i="7"/>
  <c r="K15" i="7" s="1"/>
  <c r="M18" i="9"/>
  <c r="V14" i="9"/>
  <c r="V26" i="9" s="1"/>
  <c r="V36" i="9" s="1"/>
  <c r="V38" i="9" s="1"/>
  <c r="V25" i="9"/>
  <c r="V35" i="9" s="1"/>
  <c r="T25" i="9"/>
  <c r="T35" i="9" s="1"/>
  <c r="R14" i="9"/>
  <c r="R25" i="9"/>
  <c r="R35" i="9" s="1"/>
  <c r="P25" i="9"/>
  <c r="P35" i="9" s="1"/>
  <c r="N25" i="9"/>
  <c r="N35" i="9" s="1"/>
  <c r="X38" i="9"/>
  <c r="T38" i="9"/>
  <c r="AF38" i="9"/>
  <c r="AB38" i="9"/>
  <c r="Z38" i="9"/>
  <c r="F11" i="6"/>
  <c r="F15" i="7" s="1"/>
  <c r="G15" i="7" s="1"/>
  <c r="E9" i="4"/>
  <c r="F24" i="6"/>
  <c r="D17" i="7" s="1"/>
  <c r="E17" i="7" s="1"/>
  <c r="E8" i="4"/>
  <c r="F10" i="6"/>
  <c r="F14" i="7" s="1"/>
  <c r="G14" i="7" s="1"/>
  <c r="D27" i="8"/>
  <c r="F9" i="6"/>
  <c r="D13" i="7" s="1"/>
  <c r="E13" i="7" s="1"/>
  <c r="D10" i="4"/>
  <c r="D14" i="7"/>
  <c r="Q29" i="3"/>
  <c r="S29" i="3" s="1"/>
  <c r="N24" i="6" s="1"/>
  <c r="J24" i="6"/>
  <c r="H17" i="7" s="1"/>
  <c r="I17" i="7" s="1"/>
  <c r="F16" i="6"/>
  <c r="L22" i="6"/>
  <c r="J10" i="6"/>
  <c r="H14" i="7" s="1"/>
  <c r="M37" i="11"/>
  <c r="N14" i="2"/>
  <c r="P6" i="11" s="1"/>
  <c r="O13" i="2"/>
  <c r="D12" i="3"/>
  <c r="D9" i="7"/>
  <c r="E9" i="7" s="1"/>
  <c r="F15" i="6"/>
  <c r="D18" i="6"/>
  <c r="E29" i="6" s="1"/>
  <c r="S14" i="11"/>
  <c r="S26" i="11" s="1"/>
  <c r="S36" i="11" s="1"/>
  <c r="S38" i="11" s="1"/>
  <c r="AI14" i="9"/>
  <c r="AI26" i="9" s="1"/>
  <c r="AI36" i="9" s="1"/>
  <c r="AA14" i="9"/>
  <c r="AA26" i="9" s="1"/>
  <c r="AA36" i="9" s="1"/>
  <c r="AA38" i="9" s="1"/>
  <c r="AG37" i="9"/>
  <c r="AI37" i="9" s="1"/>
  <c r="AE38" i="9"/>
  <c r="AF38" i="12"/>
  <c r="N11" i="6"/>
  <c r="L15" i="7" s="1"/>
  <c r="M15" i="7" s="1"/>
  <c r="L10" i="4"/>
  <c r="N22" i="6"/>
  <c r="K16" i="13"/>
  <c r="E38" i="3"/>
  <c r="E34" i="3"/>
  <c r="I14" i="7"/>
  <c r="AH38" i="13"/>
  <c r="M9" i="4"/>
  <c r="J22" i="6"/>
  <c r="H15" i="7"/>
  <c r="I15" i="7" s="1"/>
  <c r="K9" i="11"/>
  <c r="I17" i="13"/>
  <c r="I11" i="4"/>
  <c r="M18" i="10"/>
  <c r="P6" i="9"/>
  <c r="P6" i="13"/>
  <c r="H14" i="6"/>
  <c r="E17" i="3"/>
  <c r="E30" i="3"/>
  <c r="F7" i="8"/>
  <c r="F7" i="7"/>
  <c r="J7" i="8"/>
  <c r="J7" i="7"/>
  <c r="M33" i="13"/>
  <c r="K33" i="13"/>
  <c r="AD38" i="13"/>
  <c r="V38" i="13"/>
  <c r="AI26" i="13"/>
  <c r="AI36" i="13" s="1"/>
  <c r="AI38" i="13" s="1"/>
  <c r="AE26" i="13"/>
  <c r="AE36" i="13" s="1"/>
  <c r="AE38" i="13" s="1"/>
  <c r="S14" i="13"/>
  <c r="S26" i="13" s="1"/>
  <c r="S36" i="13" s="1"/>
  <c r="S38" i="13" s="1"/>
  <c r="K16" i="12"/>
  <c r="M16" i="12"/>
  <c r="AH38" i="12"/>
  <c r="AD38" i="12"/>
  <c r="Z38" i="12"/>
  <c r="AA14" i="13"/>
  <c r="AA26" i="13" s="1"/>
  <c r="AA36" i="13" s="1"/>
  <c r="AA38" i="13" s="1"/>
  <c r="Y14" i="13"/>
  <c r="Y26" i="13" s="1"/>
  <c r="Y36" i="13" s="1"/>
  <c r="Y38" i="13" s="1"/>
  <c r="M37" i="13"/>
  <c r="K31" i="13"/>
  <c r="K37" i="13"/>
  <c r="J24" i="13"/>
  <c r="J25" i="13" s="1"/>
  <c r="AE14" i="12"/>
  <c r="AE26" i="12" s="1"/>
  <c r="AE36" i="12" s="1"/>
  <c r="AE38" i="12" s="1"/>
  <c r="Y14" i="12"/>
  <c r="Y26" i="12" s="1"/>
  <c r="Y36" i="12" s="1"/>
  <c r="Y38" i="12" s="1"/>
  <c r="K33" i="12"/>
  <c r="AH38" i="11"/>
  <c r="Z38" i="11"/>
  <c r="R38" i="11"/>
  <c r="M33" i="10"/>
  <c r="K33" i="10"/>
  <c r="U14" i="12"/>
  <c r="U26" i="12" s="1"/>
  <c r="U36" i="12" s="1"/>
  <c r="U38" i="12" s="1"/>
  <c r="J25" i="10"/>
  <c r="L24" i="4"/>
  <c r="M24" i="4" s="1"/>
  <c r="L10" i="7"/>
  <c r="M10" i="7" s="1"/>
  <c r="F23" i="4"/>
  <c r="G23" i="4" s="1"/>
  <c r="F24" i="4"/>
  <c r="G24" i="4" s="1"/>
  <c r="D23" i="4"/>
  <c r="E23" i="4" s="1"/>
  <c r="D10" i="7"/>
  <c r="E10" i="7" s="1"/>
  <c r="D24" i="4"/>
  <c r="E24" i="4" s="1"/>
  <c r="F15" i="5"/>
  <c r="G12" i="1"/>
  <c r="G52" i="1" s="1"/>
  <c r="C4" i="10"/>
  <c r="J15" i="5"/>
  <c r="K12" i="1"/>
  <c r="K52" i="1" s="1"/>
  <c r="AJ26" i="10"/>
  <c r="AF26" i="10"/>
  <c r="AF36" i="10" s="1"/>
  <c r="AF38" i="10" s="1"/>
  <c r="AB26" i="10"/>
  <c r="AB36" i="10" s="1"/>
  <c r="AB38" i="10" s="1"/>
  <c r="X26" i="10"/>
  <c r="X36" i="10" s="1"/>
  <c r="X38" i="10" s="1"/>
  <c r="AI26" i="10"/>
  <c r="AI36" i="10" s="1"/>
  <c r="AI38" i="10" s="1"/>
  <c r="AE26" i="10"/>
  <c r="AE36" i="10" s="1"/>
  <c r="AE38" i="10" s="1"/>
  <c r="AA26" i="10"/>
  <c r="AA36" i="10" s="1"/>
  <c r="AA38" i="10" s="1"/>
  <c r="W26" i="10"/>
  <c r="W36" i="10" s="1"/>
  <c r="W38" i="10" s="1"/>
  <c r="S26" i="10"/>
  <c r="S36" i="10" s="1"/>
  <c r="S38" i="10" s="1"/>
  <c r="AH26" i="9"/>
  <c r="AH36" i="9" s="1"/>
  <c r="AH38" i="9" s="1"/>
  <c r="AD26" i="9"/>
  <c r="AD36" i="9" s="1"/>
  <c r="AD38" i="9" s="1"/>
  <c r="R26" i="9"/>
  <c r="R36" i="9" s="1"/>
  <c r="R38" i="9" s="1"/>
  <c r="AK14" i="9"/>
  <c r="AK26" i="9" s="1"/>
  <c r="AK36" i="9" s="1"/>
  <c r="L25" i="9"/>
  <c r="M17" i="9"/>
  <c r="J24" i="9"/>
  <c r="D11" i="7"/>
  <c r="E11" i="7" s="1"/>
  <c r="H28" i="6"/>
  <c r="D18" i="5"/>
  <c r="I8" i="9"/>
  <c r="AG26" i="9"/>
  <c r="AG36" i="9" s="1"/>
  <c r="AG38" i="9" s="1"/>
  <c r="AC26" i="9"/>
  <c r="AC36" i="9" s="1"/>
  <c r="AC38" i="9" s="1"/>
  <c r="U26" i="9"/>
  <c r="U36" i="9" s="1"/>
  <c r="U38" i="9" s="1"/>
  <c r="Q14" i="9"/>
  <c r="Q26" i="9" s="1"/>
  <c r="Q36" i="9" s="1"/>
  <c r="Q38" i="9" s="1"/>
  <c r="J24" i="4"/>
  <c r="K24" i="4" s="1"/>
  <c r="J8" i="4"/>
  <c r="K40" i="1"/>
  <c r="K45" i="1" s="1"/>
  <c r="G18" i="1"/>
  <c r="G22" i="1"/>
  <c r="I16" i="1"/>
  <c r="D33" i="6"/>
  <c r="D34" i="6" s="1"/>
  <c r="F31" i="6"/>
  <c r="G57" i="1" l="1"/>
  <c r="G15" i="4"/>
  <c r="H19" i="8"/>
  <c r="G24" i="5"/>
  <c r="D30" i="7"/>
  <c r="G23" i="7"/>
  <c r="F29" i="6"/>
  <c r="H27" i="6"/>
  <c r="H29" i="6" s="1"/>
  <c r="I9" i="9"/>
  <c r="M9" i="9" s="1"/>
  <c r="F13" i="7"/>
  <c r="G13" i="7" s="1"/>
  <c r="I19" i="11"/>
  <c r="K19" i="11" s="1"/>
  <c r="I10" i="11"/>
  <c r="I12" i="1"/>
  <c r="I52" i="1" s="1"/>
  <c r="D43" i="2"/>
  <c r="O11" i="3"/>
  <c r="H15" i="5"/>
  <c r="C4" i="11"/>
  <c r="H7" i="4"/>
  <c r="N6" i="9"/>
  <c r="N6" i="10"/>
  <c r="N6" i="11"/>
  <c r="N6" i="12"/>
  <c r="N6" i="13"/>
  <c r="J25" i="12"/>
  <c r="J35" i="12" s="1"/>
  <c r="L15" i="5"/>
  <c r="D47" i="2"/>
  <c r="S11" i="3"/>
  <c r="M12" i="1"/>
  <c r="M52" i="1" s="1"/>
  <c r="C4" i="13"/>
  <c r="L7" i="4"/>
  <c r="D15" i="5"/>
  <c r="D39" i="2"/>
  <c r="K11" i="3"/>
  <c r="E12" i="1"/>
  <c r="E52" i="1" s="1"/>
  <c r="C4" i="9"/>
  <c r="D7" i="4"/>
  <c r="K16" i="11"/>
  <c r="M16" i="11"/>
  <c r="F22" i="6"/>
  <c r="D16" i="7" s="1"/>
  <c r="H22" i="6"/>
  <c r="H16" i="7" s="1"/>
  <c r="D15" i="7"/>
  <c r="E15" i="7" s="1"/>
  <c r="I9" i="10"/>
  <c r="F17" i="7"/>
  <c r="D15" i="4"/>
  <c r="E10" i="4"/>
  <c r="E14" i="7"/>
  <c r="I10" i="9"/>
  <c r="I19" i="9"/>
  <c r="G71" i="1"/>
  <c r="F18" i="4"/>
  <c r="D26" i="3"/>
  <c r="D7" i="6"/>
  <c r="D21" i="6" s="1"/>
  <c r="O14" i="2"/>
  <c r="P13" i="2"/>
  <c r="P6" i="12"/>
  <c r="P6" i="10"/>
  <c r="G64" i="1"/>
  <c r="F17" i="4"/>
  <c r="H15" i="6" s="1"/>
  <c r="F17" i="6"/>
  <c r="E25" i="6"/>
  <c r="E12" i="6"/>
  <c r="E17" i="6"/>
  <c r="J35" i="13"/>
  <c r="H31" i="6"/>
  <c r="D33" i="7"/>
  <c r="I29" i="9" s="1"/>
  <c r="I24" i="1"/>
  <c r="I22" i="1"/>
  <c r="I26" i="1"/>
  <c r="K16" i="1"/>
  <c r="I18" i="1"/>
  <c r="I28" i="1" s="1"/>
  <c r="J28" i="1" s="1"/>
  <c r="I20" i="1"/>
  <c r="G28" i="1"/>
  <c r="H28" i="1" s="1"/>
  <c r="L24" i="6"/>
  <c r="L9" i="6"/>
  <c r="J19" i="8"/>
  <c r="J10" i="4"/>
  <c r="J27" i="8"/>
  <c r="L10" i="6"/>
  <c r="K8" i="4"/>
  <c r="K27" i="8" s="1"/>
  <c r="O8" i="9"/>
  <c r="O14" i="9" s="1"/>
  <c r="O26" i="9" s="1"/>
  <c r="O36" i="9" s="1"/>
  <c r="O38" i="9" s="1"/>
  <c r="N8" i="9"/>
  <c r="F11" i="7"/>
  <c r="G11" i="7" s="1"/>
  <c r="J28" i="6"/>
  <c r="L35" i="9"/>
  <c r="J25" i="9"/>
  <c r="H16" i="4"/>
  <c r="J14" i="6" s="1"/>
  <c r="I57" i="1"/>
  <c r="M17" i="13"/>
  <c r="K17" i="13"/>
  <c r="J16" i="7"/>
  <c r="L16" i="7"/>
  <c r="AK37" i="9"/>
  <c r="AK38" i="9" s="1"/>
  <c r="AI38" i="9"/>
  <c r="J35" i="10"/>
  <c r="E33" i="6"/>
  <c r="M19" i="11"/>
  <c r="M10" i="4"/>
  <c r="L15" i="4"/>
  <c r="F16" i="7" l="1"/>
  <c r="G16" i="7" s="1"/>
  <c r="I24" i="5"/>
  <c r="J27" i="6"/>
  <c r="I23" i="7"/>
  <c r="F30" i="7"/>
  <c r="K9" i="9"/>
  <c r="D7" i="8"/>
  <c r="D7" i="7"/>
  <c r="L7" i="8"/>
  <c r="L7" i="7"/>
  <c r="H7" i="8"/>
  <c r="H7" i="7"/>
  <c r="K10" i="11"/>
  <c r="M10" i="11"/>
  <c r="I13" i="11"/>
  <c r="D19" i="8"/>
  <c r="D19" i="4"/>
  <c r="E15" i="4"/>
  <c r="K9" i="10"/>
  <c r="M9" i="10"/>
  <c r="G17" i="7"/>
  <c r="I19" i="10"/>
  <c r="I10" i="10"/>
  <c r="I13" i="10" s="1"/>
  <c r="M10" i="9"/>
  <c r="K10" i="9"/>
  <c r="I13" i="9"/>
  <c r="K19" i="9"/>
  <c r="M19" i="9"/>
  <c r="G18" i="4"/>
  <c r="H16" i="6"/>
  <c r="I64" i="1"/>
  <c r="P14" i="2"/>
  <c r="Q13" i="2"/>
  <c r="R6" i="9"/>
  <c r="R6" i="11"/>
  <c r="R6" i="13"/>
  <c r="R6" i="10"/>
  <c r="R6" i="12"/>
  <c r="G17" i="4"/>
  <c r="F9" i="7"/>
  <c r="G9" i="7" s="1"/>
  <c r="F19" i="4"/>
  <c r="H17" i="4"/>
  <c r="I17" i="4" s="1"/>
  <c r="J16" i="4"/>
  <c r="K57" i="1"/>
  <c r="L14" i="6"/>
  <c r="I15" i="9"/>
  <c r="E16" i="7"/>
  <c r="M16" i="7"/>
  <c r="I15" i="13"/>
  <c r="I16" i="7"/>
  <c r="I15" i="11"/>
  <c r="J35" i="9"/>
  <c r="H11" i="7"/>
  <c r="I11" i="7" s="1"/>
  <c r="L28" i="6"/>
  <c r="J29" i="6"/>
  <c r="J14" i="7"/>
  <c r="L14" i="7"/>
  <c r="J17" i="7"/>
  <c r="K17" i="7" s="1"/>
  <c r="L17" i="7"/>
  <c r="M17" i="7" s="1"/>
  <c r="K29" i="9"/>
  <c r="M29" i="9"/>
  <c r="L17" i="8"/>
  <c r="M15" i="4"/>
  <c r="I15" i="12"/>
  <c r="K16" i="7"/>
  <c r="I16" i="4"/>
  <c r="N14" i="9"/>
  <c r="N26" i="9" s="1"/>
  <c r="N36" i="9" s="1"/>
  <c r="N38" i="9" s="1"/>
  <c r="L8" i="9"/>
  <c r="J8" i="9"/>
  <c r="J15" i="4"/>
  <c r="K10" i="4"/>
  <c r="L13" i="7"/>
  <c r="J13" i="7"/>
  <c r="K22" i="1"/>
  <c r="K24" i="1"/>
  <c r="M16" i="1"/>
  <c r="K20" i="1"/>
  <c r="K26" i="1"/>
  <c r="K18" i="1"/>
  <c r="J31" i="6"/>
  <c r="F33" i="7"/>
  <c r="I29" i="10" s="1"/>
  <c r="M13" i="10" l="1"/>
  <c r="K13" i="10"/>
  <c r="I15" i="10"/>
  <c r="H30" i="7"/>
  <c r="K24" i="5"/>
  <c r="K23" i="7"/>
  <c r="L27" i="6"/>
  <c r="L29" i="6" s="1"/>
  <c r="K28" i="1"/>
  <c r="L28" i="1" s="1"/>
  <c r="J15" i="6"/>
  <c r="M13" i="11"/>
  <c r="K13" i="11"/>
  <c r="M10" i="10"/>
  <c r="K10" i="10"/>
  <c r="M19" i="10"/>
  <c r="K19" i="10"/>
  <c r="E8" i="7"/>
  <c r="E12" i="7" s="1"/>
  <c r="E18" i="7" s="1"/>
  <c r="E22" i="7" s="1"/>
  <c r="E24" i="7" s="1"/>
  <c r="E25" i="7" s="1"/>
  <c r="E19" i="4"/>
  <c r="I14" i="9"/>
  <c r="M13" i="9"/>
  <c r="K13" i="9"/>
  <c r="H18" i="4"/>
  <c r="I71" i="1"/>
  <c r="H17" i="6"/>
  <c r="Q14" i="2"/>
  <c r="R13" i="2"/>
  <c r="T6" i="10"/>
  <c r="T6" i="11"/>
  <c r="T6" i="9"/>
  <c r="T6" i="12"/>
  <c r="T6" i="13"/>
  <c r="H19" i="4"/>
  <c r="I19" i="4" s="1"/>
  <c r="G19" i="4"/>
  <c r="G8" i="7"/>
  <c r="G12" i="7" s="1"/>
  <c r="G18" i="7" s="1"/>
  <c r="G22" i="7" s="1"/>
  <c r="L31" i="6"/>
  <c r="H33" i="7"/>
  <c r="I29" i="11" s="1"/>
  <c r="K13" i="7"/>
  <c r="I9" i="12"/>
  <c r="J14" i="9"/>
  <c r="K8" i="9"/>
  <c r="J17" i="4"/>
  <c r="K17" i="4" s="1"/>
  <c r="K64" i="1"/>
  <c r="L15" i="6"/>
  <c r="I19" i="13"/>
  <c r="I10" i="13"/>
  <c r="M14" i="7"/>
  <c r="N28" i="6"/>
  <c r="J11" i="7"/>
  <c r="K11" i="7" s="1"/>
  <c r="M15" i="11"/>
  <c r="K15" i="11"/>
  <c r="K15" i="13"/>
  <c r="M15" i="13"/>
  <c r="M15" i="9"/>
  <c r="K15" i="9"/>
  <c r="L16" i="4"/>
  <c r="N14" i="6" s="1"/>
  <c r="M57" i="1"/>
  <c r="M29" i="10"/>
  <c r="K29" i="10"/>
  <c r="M26" i="1"/>
  <c r="M18" i="1"/>
  <c r="M24" i="1"/>
  <c r="M20" i="1"/>
  <c r="M22" i="1"/>
  <c r="M28" i="1" s="1"/>
  <c r="N28" i="1" s="1"/>
  <c r="M13" i="7"/>
  <c r="I9" i="13"/>
  <c r="K15" i="4"/>
  <c r="J17" i="8"/>
  <c r="L14" i="9"/>
  <c r="M8" i="9"/>
  <c r="K15" i="12"/>
  <c r="M15" i="12"/>
  <c r="I19" i="12"/>
  <c r="K14" i="7"/>
  <c r="I10" i="12"/>
  <c r="K16" i="4"/>
  <c r="M15" i="10" l="1"/>
  <c r="K15" i="10"/>
  <c r="N27" i="6"/>
  <c r="L30" i="7" s="1"/>
  <c r="M24" i="5"/>
  <c r="M23" i="7"/>
  <c r="J30" i="7"/>
  <c r="I8" i="7"/>
  <c r="I18" i="4"/>
  <c r="H9" i="7"/>
  <c r="I9" i="7" s="1"/>
  <c r="J16" i="6"/>
  <c r="R14" i="2"/>
  <c r="S13" i="2"/>
  <c r="V6" i="9"/>
  <c r="V6" i="12"/>
  <c r="V6" i="13"/>
  <c r="V6" i="10"/>
  <c r="V6" i="11"/>
  <c r="L11" i="7"/>
  <c r="M11" i="7" s="1"/>
  <c r="K10" i="13"/>
  <c r="M10" i="13"/>
  <c r="M64" i="1"/>
  <c r="L17" i="4"/>
  <c r="M17" i="4" s="1"/>
  <c r="I13" i="12"/>
  <c r="K9" i="12"/>
  <c r="M9" i="12"/>
  <c r="J33" i="7"/>
  <c r="I29" i="12" s="1"/>
  <c r="N31" i="6"/>
  <c r="M10" i="12"/>
  <c r="K10" i="12"/>
  <c r="M19" i="12"/>
  <c r="K19" i="12"/>
  <c r="L26" i="9"/>
  <c r="M14" i="9"/>
  <c r="M9" i="13"/>
  <c r="I13" i="13"/>
  <c r="K9" i="13"/>
  <c r="M16" i="4"/>
  <c r="M19" i="13"/>
  <c r="K19" i="13"/>
  <c r="K14" i="9"/>
  <c r="J26" i="9"/>
  <c r="M29" i="11"/>
  <c r="K29" i="11"/>
  <c r="E26" i="7"/>
  <c r="N29" i="6" l="1"/>
  <c r="I12" i="7"/>
  <c r="I18" i="7" s="1"/>
  <c r="I22" i="7" s="1"/>
  <c r="K71" i="1"/>
  <c r="J17" i="6"/>
  <c r="J18" i="4"/>
  <c r="L16" i="6" s="1"/>
  <c r="T13" i="2"/>
  <c r="S14" i="2"/>
  <c r="X6" i="11"/>
  <c r="X6" i="12"/>
  <c r="X6" i="9"/>
  <c r="X6" i="10"/>
  <c r="X6" i="13"/>
  <c r="K13" i="13"/>
  <c r="M13" i="13"/>
  <c r="J36" i="9"/>
  <c r="K13" i="12"/>
  <c r="M13" i="12"/>
  <c r="D20" i="4"/>
  <c r="E27" i="7"/>
  <c r="E32" i="7" s="1"/>
  <c r="L36" i="9"/>
  <c r="L33" i="7"/>
  <c r="I29" i="13" s="1"/>
  <c r="M29" i="12"/>
  <c r="K29" i="12"/>
  <c r="N15" i="6"/>
  <c r="L17" i="6" l="1"/>
  <c r="M71" i="1"/>
  <c r="L18" i="4"/>
  <c r="N16" i="6" s="1"/>
  <c r="N17" i="6" s="1"/>
  <c r="K18" i="4"/>
  <c r="J9" i="7"/>
  <c r="K9" i="7" s="1"/>
  <c r="J19" i="4"/>
  <c r="Z6" i="11"/>
  <c r="Z6" i="10"/>
  <c r="Z6" i="13"/>
  <c r="Z6" i="12"/>
  <c r="Z6" i="9"/>
  <c r="U13" i="2"/>
  <c r="T14" i="2"/>
  <c r="K29" i="13"/>
  <c r="M29" i="13"/>
  <c r="D20" i="8"/>
  <c r="I20" i="9"/>
  <c r="E20" i="4"/>
  <c r="D26" i="7"/>
  <c r="D31" i="7" s="1"/>
  <c r="D22" i="4"/>
  <c r="J38" i="9"/>
  <c r="L38" i="9"/>
  <c r="K8" i="7" l="1"/>
  <c r="K12" i="7" s="1"/>
  <c r="K18" i="7" s="1"/>
  <c r="K22" i="7" s="1"/>
  <c r="K19" i="4"/>
  <c r="M18" i="4"/>
  <c r="L19" i="4"/>
  <c r="L9" i="7"/>
  <c r="M9" i="7" s="1"/>
  <c r="U14" i="2"/>
  <c r="V13" i="2"/>
  <c r="AB6" i="10"/>
  <c r="AB6" i="9"/>
  <c r="AB6" i="12"/>
  <c r="AB6" i="11"/>
  <c r="AB6" i="13"/>
  <c r="D25" i="4"/>
  <c r="D26" i="4" s="1"/>
  <c r="E22" i="4"/>
  <c r="K20" i="9"/>
  <c r="M20" i="9"/>
  <c r="M19" i="4" l="1"/>
  <c r="M8" i="7"/>
  <c r="M12" i="7" s="1"/>
  <c r="M18" i="7" s="1"/>
  <c r="M22" i="7" s="1"/>
  <c r="V14" i="2"/>
  <c r="W13" i="2"/>
  <c r="AD6" i="11"/>
  <c r="AD6" i="13"/>
  <c r="AD6" i="9"/>
  <c r="AD6" i="10"/>
  <c r="AD6" i="12"/>
  <c r="F32" i="6"/>
  <c r="D8" i="7"/>
  <c r="D12" i="7" s="1"/>
  <c r="E26" i="4"/>
  <c r="E26" i="5"/>
  <c r="I21" i="9"/>
  <c r="E25" i="4"/>
  <c r="D18" i="7" l="1"/>
  <c r="D22" i="7" s="1"/>
  <c r="D17" i="5" s="1"/>
  <c r="D18" i="8"/>
  <c r="X13" i="2"/>
  <c r="W14" i="2"/>
  <c r="AF6" i="13"/>
  <c r="AF6" i="9"/>
  <c r="AF6" i="10"/>
  <c r="AF6" i="11"/>
  <c r="AF6" i="12"/>
  <c r="K21" i="9"/>
  <c r="M21" i="9"/>
  <c r="I24" i="9"/>
  <c r="F33" i="6"/>
  <c r="D28" i="7" l="1"/>
  <c r="D27" i="7"/>
  <c r="AH6" i="10"/>
  <c r="AH6" i="11"/>
  <c r="AH6" i="9"/>
  <c r="AH6" i="12"/>
  <c r="AH6" i="13"/>
  <c r="L14" i="2"/>
  <c r="H7" i="6" s="1"/>
  <c r="H21" i="6" s="1"/>
  <c r="L13" i="2"/>
  <c r="F7" i="6" s="1"/>
  <c r="F21" i="6" s="1"/>
  <c r="X14" i="2"/>
  <c r="L17" i="2"/>
  <c r="N7" i="6" s="1"/>
  <c r="N21" i="6" s="1"/>
  <c r="L15" i="2"/>
  <c r="J7" i="6" s="1"/>
  <c r="J21" i="6" s="1"/>
  <c r="L16" i="2"/>
  <c r="L7" i="6" s="1"/>
  <c r="L21" i="6" s="1"/>
  <c r="D16" i="8"/>
  <c r="D23" i="8"/>
  <c r="M24" i="9"/>
  <c r="I25" i="9"/>
  <c r="K24" i="9"/>
  <c r="I26" i="9"/>
  <c r="D20" i="5"/>
  <c r="D31" i="5" s="1"/>
  <c r="F23" i="6" s="1"/>
  <c r="D29" i="5"/>
  <c r="AJ6" i="13" l="1"/>
  <c r="AJ6" i="12"/>
  <c r="AJ6" i="10"/>
  <c r="AJ6" i="9"/>
  <c r="AJ6" i="11"/>
  <c r="D29" i="7"/>
  <c r="F19" i="5"/>
  <c r="F25" i="6"/>
  <c r="F34" i="6" s="1"/>
  <c r="K26" i="9"/>
  <c r="M26" i="9"/>
  <c r="M25" i="9"/>
  <c r="K25" i="9"/>
  <c r="F8" i="6"/>
  <c r="D17" i="8" s="1"/>
  <c r="D30" i="5"/>
  <c r="D32" i="5" s="1"/>
  <c r="D9" i="8" l="1"/>
  <c r="D10" i="8"/>
  <c r="F18" i="5"/>
  <c r="F12" i="6"/>
  <c r="F18" i="6" s="1"/>
  <c r="I8" i="10"/>
  <c r="I28" i="9"/>
  <c r="I32" i="9"/>
  <c r="D32" i="7"/>
  <c r="D35" i="7" s="1"/>
  <c r="G24" i="7"/>
  <c r="K28" i="9" l="1"/>
  <c r="M28" i="9"/>
  <c r="I35" i="9"/>
  <c r="I36" i="9"/>
  <c r="G29" i="6"/>
  <c r="G17" i="6"/>
  <c r="G33" i="6"/>
  <c r="D24" i="8" s="1"/>
  <c r="G25" i="6"/>
  <c r="F35" i="6"/>
  <c r="G12" i="6"/>
  <c r="G25" i="7"/>
  <c r="G26" i="7" s="1"/>
  <c r="M32" i="9"/>
  <c r="K32" i="9"/>
  <c r="N8" i="10"/>
  <c r="O8" i="10"/>
  <c r="O14" i="10" s="1"/>
  <c r="O26" i="10" s="1"/>
  <c r="O36" i="10" s="1"/>
  <c r="O38" i="10" s="1"/>
  <c r="I14" i="10"/>
  <c r="F20" i="4" l="1"/>
  <c r="G27" i="7"/>
  <c r="G32" i="7" s="1"/>
  <c r="M35" i="9"/>
  <c r="K35" i="9"/>
  <c r="L8" i="10"/>
  <c r="N14" i="10"/>
  <c r="N26" i="10" s="1"/>
  <c r="N36" i="10" s="1"/>
  <c r="N38" i="10" s="1"/>
  <c r="J8" i="10"/>
  <c r="AJ36" i="9"/>
  <c r="I38" i="9"/>
  <c r="M36" i="9"/>
  <c r="K36" i="9"/>
  <c r="AJ38" i="9" l="1"/>
  <c r="K38" i="9"/>
  <c r="J14" i="10"/>
  <c r="K8" i="10"/>
  <c r="L14" i="10"/>
  <c r="M8" i="10"/>
  <c r="F26" i="7"/>
  <c r="F31" i="7" s="1"/>
  <c r="F20" i="8"/>
  <c r="I20" i="10"/>
  <c r="G20" i="4"/>
  <c r="F22" i="4"/>
  <c r="G22" i="4" l="1"/>
  <c r="F25" i="4"/>
  <c r="K20" i="10"/>
  <c r="M20" i="10"/>
  <c r="M14" i="10"/>
  <c r="L26" i="10"/>
  <c r="J26" i="10"/>
  <c r="K14" i="10"/>
  <c r="L36" i="10" l="1"/>
  <c r="J36" i="10"/>
  <c r="G25" i="4"/>
  <c r="I21" i="10"/>
  <c r="F26" i="4"/>
  <c r="J38" i="10" l="1"/>
  <c r="L38" i="10"/>
  <c r="K21" i="10"/>
  <c r="M21" i="10"/>
  <c r="I24" i="10"/>
  <c r="F8" i="7"/>
  <c r="F12" i="7" s="1"/>
  <c r="G26" i="4"/>
  <c r="H32" i="6"/>
  <c r="G26" i="5"/>
  <c r="F18" i="7" l="1"/>
  <c r="F22" i="7" s="1"/>
  <c r="F17" i="5" s="1"/>
  <c r="F18" i="8"/>
  <c r="H33" i="6"/>
  <c r="M24" i="10"/>
  <c r="K24" i="10"/>
  <c r="I25" i="10"/>
  <c r="I26" i="10"/>
  <c r="F28" i="7" l="1"/>
  <c r="F27" i="7"/>
  <c r="F23" i="8"/>
  <c r="F16" i="8"/>
  <c r="M25" i="10"/>
  <c r="K25" i="10"/>
  <c r="M26" i="10"/>
  <c r="K26" i="10"/>
  <c r="F20" i="5"/>
  <c r="F31" i="5" s="1"/>
  <c r="H23" i="6" s="1"/>
  <c r="F29" i="5"/>
  <c r="F29" i="7" l="1"/>
  <c r="H19" i="5"/>
  <c r="H25" i="6"/>
  <c r="H34" i="6" s="1"/>
  <c r="F30" i="5"/>
  <c r="F32" i="5" s="1"/>
  <c r="H8" i="6"/>
  <c r="F17" i="8" s="1"/>
  <c r="F10" i="8" l="1"/>
  <c r="F9" i="8"/>
  <c r="I32" i="10"/>
  <c r="I28" i="10"/>
  <c r="F32" i="7"/>
  <c r="F35" i="7" s="1"/>
  <c r="H18" i="5"/>
  <c r="H12" i="6"/>
  <c r="H18" i="6" s="1"/>
  <c r="I8" i="11"/>
  <c r="I24" i="7"/>
  <c r="I14" i="11" l="1"/>
  <c r="N8" i="11"/>
  <c r="O8" i="11"/>
  <c r="O14" i="11" s="1"/>
  <c r="O26" i="11" s="1"/>
  <c r="O36" i="11" s="1"/>
  <c r="O38" i="11" s="1"/>
  <c r="M28" i="10"/>
  <c r="K28" i="10"/>
  <c r="I36" i="10"/>
  <c r="I35" i="10"/>
  <c r="I25" i="7"/>
  <c r="I26" i="7" s="1"/>
  <c r="I17" i="6"/>
  <c r="I29" i="6"/>
  <c r="I33" i="6"/>
  <c r="F24" i="8" s="1"/>
  <c r="H35" i="6"/>
  <c r="I12" i="6"/>
  <c r="I25" i="6"/>
  <c r="M32" i="10"/>
  <c r="K32" i="10"/>
  <c r="H20" i="4" l="1"/>
  <c r="I27" i="7"/>
  <c r="I32" i="7" s="1"/>
  <c r="M35" i="10"/>
  <c r="K35" i="10"/>
  <c r="I38" i="10"/>
  <c r="AJ36" i="10"/>
  <c r="M36" i="10"/>
  <c r="K36" i="10"/>
  <c r="J8" i="11"/>
  <c r="L8" i="11"/>
  <c r="N14" i="11"/>
  <c r="N26" i="11" s="1"/>
  <c r="N36" i="11" s="1"/>
  <c r="N38" i="11" s="1"/>
  <c r="J14" i="11" l="1"/>
  <c r="K8" i="11"/>
  <c r="AJ38" i="10"/>
  <c r="K38" i="10"/>
  <c r="M8" i="11"/>
  <c r="L14" i="11"/>
  <c r="H20" i="8"/>
  <c r="H26" i="7"/>
  <c r="H31" i="7" s="1"/>
  <c r="I20" i="11"/>
  <c r="I20" i="4"/>
  <c r="H22" i="4"/>
  <c r="M14" i="11" l="1"/>
  <c r="L26" i="11"/>
  <c r="I22" i="4"/>
  <c r="H25" i="4"/>
  <c r="H26" i="4" s="1"/>
  <c r="M20" i="11"/>
  <c r="K20" i="11"/>
  <c r="K14" i="11"/>
  <c r="J26" i="11"/>
  <c r="H8" i="7" l="1"/>
  <c r="H12" i="7" s="1"/>
  <c r="I26" i="4"/>
  <c r="J32" i="6"/>
  <c r="I26" i="5"/>
  <c r="J36" i="11"/>
  <c r="L36" i="11"/>
  <c r="I25" i="4"/>
  <c r="I21" i="11"/>
  <c r="H18" i="7" l="1"/>
  <c r="H22" i="7" s="1"/>
  <c r="H17" i="5" s="1"/>
  <c r="H18" i="8"/>
  <c r="M21" i="11"/>
  <c r="K21" i="11"/>
  <c r="I24" i="11"/>
  <c r="L38" i="11"/>
  <c r="J38" i="11"/>
  <c r="J33" i="6"/>
  <c r="H27" i="7"/>
  <c r="H28" i="7" l="1"/>
  <c r="H20" i="5"/>
  <c r="H31" i="5" s="1"/>
  <c r="J23" i="6" s="1"/>
  <c r="H29" i="5"/>
  <c r="H23" i="8"/>
  <c r="H16" i="8"/>
  <c r="K24" i="11"/>
  <c r="M24" i="11"/>
  <c r="I25" i="11"/>
  <c r="I26" i="11"/>
  <c r="K26" i="11" l="1"/>
  <c r="M26" i="11"/>
  <c r="J8" i="6"/>
  <c r="K24" i="7" s="1"/>
  <c r="H30" i="5"/>
  <c r="H32" i="5" s="1"/>
  <c r="K25" i="11"/>
  <c r="M25" i="11"/>
  <c r="H29" i="7"/>
  <c r="J19" i="5"/>
  <c r="H10" i="8"/>
  <c r="J25" i="6"/>
  <c r="J34" i="6" s="1"/>
  <c r="H9" i="8" l="1"/>
  <c r="H17" i="8"/>
  <c r="I28" i="11"/>
  <c r="I32" i="11"/>
  <c r="H32" i="7"/>
  <c r="H35" i="7" s="1"/>
  <c r="J18" i="5"/>
  <c r="J12" i="6"/>
  <c r="J18" i="6" s="1"/>
  <c r="I8" i="12"/>
  <c r="K25" i="7"/>
  <c r="K26" i="7" s="1"/>
  <c r="J20" i="4" l="1"/>
  <c r="K27" i="7"/>
  <c r="K32" i="7" s="1"/>
  <c r="K33" i="6"/>
  <c r="H24" i="8" s="1"/>
  <c r="K17" i="6"/>
  <c r="J35" i="6"/>
  <c r="K12" i="6"/>
  <c r="K29" i="6"/>
  <c r="K25" i="6"/>
  <c r="M28" i="11"/>
  <c r="K28" i="11"/>
  <c r="I36" i="11"/>
  <c r="I35" i="11"/>
  <c r="I14" i="12"/>
  <c r="N8" i="12"/>
  <c r="O8" i="12"/>
  <c r="O14" i="12" s="1"/>
  <c r="O26" i="12" s="1"/>
  <c r="O36" i="12" s="1"/>
  <c r="O38" i="12" s="1"/>
  <c r="M32" i="11"/>
  <c r="K32" i="11"/>
  <c r="L8" i="12" l="1"/>
  <c r="J8" i="12"/>
  <c r="N14" i="12"/>
  <c r="N26" i="12" s="1"/>
  <c r="N36" i="12" s="1"/>
  <c r="N38" i="12" s="1"/>
  <c r="M35" i="11"/>
  <c r="K35" i="11"/>
  <c r="AJ36" i="11"/>
  <c r="I38" i="11"/>
  <c r="M36" i="11"/>
  <c r="K36" i="11"/>
  <c r="I20" i="12"/>
  <c r="J20" i="8"/>
  <c r="J26" i="7"/>
  <c r="J31" i="7" s="1"/>
  <c r="K20" i="4"/>
  <c r="J22" i="4"/>
  <c r="AJ38" i="11" l="1"/>
  <c r="K38" i="11"/>
  <c r="J14" i="12"/>
  <c r="K8" i="12"/>
  <c r="K22" i="4"/>
  <c r="J25" i="4"/>
  <c r="K20" i="12"/>
  <c r="M20" i="12"/>
  <c r="L14" i="12"/>
  <c r="M8" i="12"/>
  <c r="L26" i="12" l="1"/>
  <c r="M14" i="12"/>
  <c r="K25" i="4"/>
  <c r="I21" i="12"/>
  <c r="J26" i="4"/>
  <c r="K14" i="12"/>
  <c r="J26" i="12"/>
  <c r="K21" i="12" l="1"/>
  <c r="M21" i="12"/>
  <c r="I24" i="12"/>
  <c r="J36" i="12"/>
  <c r="J8" i="7"/>
  <c r="J12" i="7" s="1"/>
  <c r="J18" i="7" s="1"/>
  <c r="J22" i="7" s="1"/>
  <c r="K26" i="4"/>
  <c r="L32" i="6"/>
  <c r="K26" i="5"/>
  <c r="L36" i="12"/>
  <c r="L33" i="6" l="1"/>
  <c r="J17" i="5"/>
  <c r="J27" i="7"/>
  <c r="J28" i="7"/>
  <c r="J38" i="12"/>
  <c r="L38" i="12"/>
  <c r="M24" i="12"/>
  <c r="K24" i="12"/>
  <c r="I25" i="12"/>
  <c r="I26" i="12"/>
  <c r="K25" i="12" l="1"/>
  <c r="M25" i="12"/>
  <c r="J23" i="8"/>
  <c r="J16" i="8"/>
  <c r="K26" i="12"/>
  <c r="M26" i="12"/>
  <c r="J20" i="5"/>
  <c r="J31" i="5" s="1"/>
  <c r="L23" i="6" s="1"/>
  <c r="J29" i="5"/>
  <c r="J30" i="5" l="1"/>
  <c r="J32" i="5" s="1"/>
  <c r="L8" i="6"/>
  <c r="L19" i="5"/>
  <c r="J9" i="8"/>
  <c r="J29" i="7"/>
  <c r="M24" i="7"/>
  <c r="M25" i="7" s="1"/>
  <c r="L25" i="6"/>
  <c r="L34" i="6" s="1"/>
  <c r="J10" i="8"/>
  <c r="I28" i="12" l="1"/>
  <c r="I32" i="12"/>
  <c r="J32" i="7"/>
  <c r="J35" i="7" s="1"/>
  <c r="I8" i="13"/>
  <c r="L18" i="5"/>
  <c r="L12" i="6"/>
  <c r="L18" i="6" s="1"/>
  <c r="M26" i="7"/>
  <c r="L35" i="6" l="1"/>
  <c r="M29" i="6"/>
  <c r="M33" i="6"/>
  <c r="J24" i="8" s="1"/>
  <c r="M25" i="6"/>
  <c r="M12" i="6"/>
  <c r="M17" i="6"/>
  <c r="O8" i="13"/>
  <c r="O14" i="13" s="1"/>
  <c r="O26" i="13" s="1"/>
  <c r="O36" i="13" s="1"/>
  <c r="O38" i="13" s="1"/>
  <c r="I14" i="13"/>
  <c r="N8" i="13"/>
  <c r="K32" i="12"/>
  <c r="M32" i="12"/>
  <c r="L20" i="4"/>
  <c r="M27" i="7"/>
  <c r="M32" i="7" s="1"/>
  <c r="M28" i="12"/>
  <c r="K28" i="12"/>
  <c r="I36" i="12"/>
  <c r="I35" i="12"/>
  <c r="AJ36" i="12" l="1"/>
  <c r="I38" i="12"/>
  <c r="K36" i="12"/>
  <c r="M36" i="12"/>
  <c r="L20" i="8"/>
  <c r="L26" i="7"/>
  <c r="L31" i="7" s="1"/>
  <c r="I20" i="13"/>
  <c r="M20" i="4"/>
  <c r="L22" i="4"/>
  <c r="M35" i="12"/>
  <c r="K35" i="12"/>
  <c r="N14" i="13"/>
  <c r="N26" i="13" s="1"/>
  <c r="N36" i="13" s="1"/>
  <c r="N38" i="13" s="1"/>
  <c r="L8" i="13"/>
  <c r="J8" i="13"/>
  <c r="AJ38" i="12" l="1"/>
  <c r="K38" i="12"/>
  <c r="L14" i="13"/>
  <c r="M8" i="13"/>
  <c r="K8" i="13"/>
  <c r="J14" i="13"/>
  <c r="M22" i="4"/>
  <c r="L25" i="4"/>
  <c r="L26" i="4" s="1"/>
  <c r="M20" i="13"/>
  <c r="K20" i="13"/>
  <c r="L8" i="7" l="1"/>
  <c r="L12" i="7" s="1"/>
  <c r="L18" i="7" s="1"/>
  <c r="L22" i="7" s="1"/>
  <c r="M26" i="4"/>
  <c r="N32" i="6"/>
  <c r="N33" i="6" s="1"/>
  <c r="M26" i="5"/>
  <c r="J26" i="13"/>
  <c r="K14" i="13"/>
  <c r="M25" i="4"/>
  <c r="I21" i="13"/>
  <c r="L26" i="13"/>
  <c r="M14" i="13"/>
  <c r="M21" i="13" l="1"/>
  <c r="K21" i="13"/>
  <c r="I24" i="13"/>
  <c r="L36" i="13"/>
  <c r="J36" i="13"/>
  <c r="L23" i="8"/>
  <c r="L16" i="8"/>
  <c r="L27" i="7"/>
  <c r="L17" i="5"/>
  <c r="L28" i="7"/>
  <c r="L20" i="5" l="1"/>
  <c r="L31" i="5" s="1"/>
  <c r="N23" i="6" s="1"/>
  <c r="L29" i="5"/>
  <c r="J38" i="13"/>
  <c r="L38" i="13"/>
  <c r="M24" i="13"/>
  <c r="K24" i="13"/>
  <c r="I25" i="13"/>
  <c r="I26" i="13"/>
  <c r="M26" i="13" l="1"/>
  <c r="K26" i="13"/>
  <c r="M25" i="13"/>
  <c r="K25" i="13"/>
  <c r="L29" i="7"/>
  <c r="N25" i="6"/>
  <c r="N34" i="6" s="1"/>
  <c r="N8" i="6"/>
  <c r="N12" i="6" s="1"/>
  <c r="N18" i="6" s="1"/>
  <c r="L30" i="5"/>
  <c r="L32" i="5" s="1"/>
  <c r="L9" i="8" l="1"/>
  <c r="L10" i="8"/>
  <c r="O33" i="6"/>
  <c r="L24" i="8" s="1"/>
  <c r="O25" i="6"/>
  <c r="O17" i="6"/>
  <c r="N35" i="6"/>
  <c r="O29" i="6"/>
  <c r="O12" i="6"/>
  <c r="I28" i="13"/>
  <c r="I32" i="13"/>
  <c r="L32" i="7"/>
  <c r="L35" i="7" s="1"/>
  <c r="M32" i="13" l="1"/>
  <c r="K32" i="13"/>
  <c r="K28" i="13"/>
  <c r="M28" i="13"/>
  <c r="I36" i="13"/>
  <c r="I35" i="13"/>
  <c r="M35" i="13" l="1"/>
  <c r="K35" i="13"/>
  <c r="I38" i="13"/>
  <c r="AJ36" i="13"/>
  <c r="M36" i="13"/>
  <c r="K36" i="13"/>
  <c r="AJ38" i="13" l="1"/>
  <c r="K38" i="13"/>
</calcChain>
</file>

<file path=xl/comments1.xml><?xml version="1.0" encoding="utf-8"?>
<comments xmlns="http://schemas.openxmlformats.org/spreadsheetml/2006/main">
  <authors>
    <author>Bnt</author>
    <author>Reto Rüttimann</author>
  </authors>
  <commentList>
    <comment ref="E13" authorId="0" shapeId="0">
      <text>
        <r>
          <rPr>
            <sz val="8"/>
            <color indexed="81"/>
            <rFont val="Arial"/>
            <family val="2"/>
          </rPr>
          <t>Geben Sie in diesem Feld den Namen Ihrer Firma ein. Dieser wird automatisch auf die Folgeseiten übertragen.
(Bsp.: Felix Muster AG, Zürich)</t>
        </r>
      </text>
    </comment>
    <comment ref="E14" authorId="1" shapeId="0">
      <text>
        <r>
          <rPr>
            <sz val="8"/>
            <color indexed="81"/>
            <rFont val="Arial"/>
            <family val="2"/>
          </rPr>
          <t xml:space="preserve">Geben Sie hier das erste Geschäftsjahr Ihrer Betriebstätigkeit ein. </t>
        </r>
      </text>
    </comment>
  </commentList>
</comments>
</file>

<file path=xl/comments2.xml><?xml version="1.0" encoding="utf-8"?>
<comments xmlns="http://schemas.openxmlformats.org/spreadsheetml/2006/main">
  <authors>
    <author>Reto Rüttimann</author>
  </authors>
  <commentList>
    <comment ref="I13" authorId="0" shapeId="0">
      <text>
        <r>
          <rPr>
            <b/>
            <sz val="8"/>
            <color indexed="81"/>
            <rFont val="Arial"/>
            <family val="2"/>
          </rPr>
          <t>Bitte geben Sie hier die betriebsnotwendige Mindestliquidität ein.</t>
        </r>
        <r>
          <rPr>
            <sz val="8"/>
            <color indexed="81"/>
            <rFont val="Arial"/>
            <family val="2"/>
          </rPr>
          <t xml:space="preserve">
Diese beinhaltet beispielsweise den notwendigen Kassenbestand Ihres Betriebs.</t>
        </r>
      </text>
    </comment>
    <comment ref="I14" authorId="0" shapeId="0">
      <text>
        <r>
          <rPr>
            <b/>
            <sz val="8"/>
            <color indexed="81"/>
            <rFont val="Arial"/>
            <family val="2"/>
          </rPr>
          <t xml:space="preserve">Die Debitorenfrist gibt an, innerhalb welcher Frist die gestellten Rechnungen im Durchschnitt bezahlt werden.
</t>
        </r>
        <r>
          <rPr>
            <sz val="8"/>
            <color indexed="81"/>
            <rFont val="Arial"/>
            <family val="2"/>
          </rPr>
          <t xml:space="preserve">
Bitte geben Sie hier nicht die in Ihren Rechnungen gestellte Zahlungsfrist an, sondern die effektive Frist, bis wann Ihre Kunden die Rechnungen begleichen.</t>
        </r>
      </text>
    </comment>
    <comment ref="I15" authorId="0" shapeId="0">
      <text>
        <r>
          <rPr>
            <sz val="8"/>
            <color indexed="81"/>
            <rFont val="Arial"/>
            <family val="2"/>
          </rPr>
          <t>In dieser Position werden sämtliche übrige kurzfristigen Forderungen wie Transitorische Aktiven bzw. Rechnungsabgrenzungen, Mehrwertsteuerforderungen usw. zusammengefasst.
Der Einfachheit halber sieht das Modell vor, dass sich diese Position in den Folgejahren parallel zum Umsatz (in %) entwickelt.</t>
        </r>
      </text>
    </comment>
    <comment ref="I16" authorId="0" shapeId="0">
      <text>
        <r>
          <rPr>
            <sz val="8"/>
            <color indexed="81"/>
            <rFont val="Arial"/>
            <family val="2"/>
          </rPr>
          <t xml:space="preserve">Die durchschnittliche Lagerdauer gibt Auskunft über die Situation im Lager bzw. die Entwicklung der Kapitalbindung im Lager. Sie zeigt also auf, wie lange die Vorräte - und damit natürlich auch das dafür benötigte Kapital - durchschnittlich im Lager gebunden sind.
Die Lagerdauer berechnet sich wie folgt:
</t>
        </r>
        <r>
          <rPr>
            <u/>
            <sz val="8"/>
            <color indexed="81"/>
            <rFont val="Arial"/>
            <family val="2"/>
          </rPr>
          <t>Lagerbestand x 360</t>
        </r>
        <r>
          <rPr>
            <sz val="8"/>
            <color indexed="81"/>
            <rFont val="Arial"/>
            <family val="2"/>
          </rPr>
          <t xml:space="preserve">
Warenaufwand
Beim Computerhersteller Dell liegt der Lagerumschlag bei ca. 4 Tagen, bei Compaq bei ca. 54 Tagen und bei Hewlett-Packard lag er sogar bei 91 Tagen. (Quelle: Scheuss, 2004)</t>
        </r>
      </text>
    </comment>
    <comment ref="I19" authorId="0" shapeId="0">
      <text>
        <r>
          <rPr>
            <sz val="8"/>
            <color indexed="81"/>
            <rFont val="Arial"/>
            <family val="2"/>
          </rPr>
          <t>Die hier zu erfassenden Abschreibungssätze beziehen sich auf den Buch- bzw. Restwert (degressives Verfahren). 
Diese sind im Normalfall doppelt so hoch wie die Abschreibungssätze vom Anschaffungswert (lineares Verfahren).
Bitte benutzen Sie als Anhaltspunkt das Merkblatt der Eidgenössischen Steuerverwaltung gemäss nebenstehendem Link.</t>
        </r>
      </text>
    </comment>
    <comment ref="I20" authorId="0" shapeId="0">
      <text>
        <r>
          <rPr>
            <sz val="8"/>
            <color indexed="81"/>
            <rFont val="Arial"/>
            <family val="2"/>
          </rPr>
          <t>Die hier zu erfassenden Abschreibungssätze beziehen sich auf den Buch- bzw. Restwert (degressives Verfahren). 
Diese sind im Normalfall doppelt so hoch wie die Abschreibungssätze vom Anschaffungswert (lineares Verfahren).
Bitte benutzen Sie als Anhaltspunkt das Merkblatt der Eidgenössischen Steuerverwaltung gemäss nebenstehendem Link.</t>
        </r>
      </text>
    </comment>
    <comment ref="I21" authorId="0" shapeId="0">
      <text>
        <r>
          <rPr>
            <sz val="8"/>
            <color indexed="81"/>
            <rFont val="Arial"/>
            <family val="2"/>
          </rPr>
          <t>Die hier zu erfassenden Abschreibungssätze beziehen sich auf den Buch- bzw. Restwert (degressives Verfahren). 
Diese sind im Normalfall doppelt so hoch wie die Abschreibungssätze vom Anschaffungswert (lineares Verfahren).
Bitte benutzen Sie als Anhaltspunkt das Merkblatt der Eidgenössischen Steuerverwaltung gemäss nebenstehendem Link.</t>
        </r>
      </text>
    </comment>
    <comment ref="I27" authorId="0" shapeId="0">
      <text>
        <r>
          <rPr>
            <b/>
            <sz val="8"/>
            <color indexed="81"/>
            <rFont val="Arial"/>
            <family val="2"/>
          </rPr>
          <t xml:space="preserve">Die Kreditorenfrist gibt an, nach wie vielen Tagen Sie im Durchschnitt Ihre  Lieferantenrechnungen bezahlen.
</t>
        </r>
        <r>
          <rPr>
            <sz val="8"/>
            <color indexed="81"/>
            <rFont val="Arial"/>
            <family val="2"/>
          </rPr>
          <t>Um diesen Parameter ergänzen zu können, ist es wichtig, dass Ihnen die Zahlungsfristen Ihrer Lieferanten bekannt sind.</t>
        </r>
      </text>
    </comment>
    <comment ref="I29" authorId="0" shapeId="0">
      <text>
        <r>
          <rPr>
            <sz val="8"/>
            <color indexed="81"/>
            <rFont val="Arial"/>
            <family val="2"/>
          </rPr>
          <t>In dieser Position werden sämtliche übrige kurzfristigen Verbindlichkeiten wie Transitorische Passiven bzw. Rechnungsabgrenzungen, Steuerverbindlichkeiten, kurzfristige Rückstellungen usw. zusammengefasst.
Der Einfachheit halber sieht das Modell vor, dass sich diese Position in den Folgejahren parallel zum Umsatz (in %) entwickelt.</t>
        </r>
      </text>
    </comment>
    <comment ref="I33" authorId="0" shapeId="0">
      <text>
        <r>
          <rPr>
            <sz val="8"/>
            <color indexed="81"/>
            <rFont val="Arial"/>
            <family val="2"/>
          </rPr>
          <t xml:space="preserve">Rückstellungen sind Verpflichtungen, bei denen bezüglich Höhe, Fälligkeit, Tatbestand und/oder Empfänger Ungewissheit besteht. Rückstellungen werden in der Regel für Garantieleistungen, Prozesskosten bei einem schwebenden Verfahren oder bei noch unklaren Schadenersatzverpflichtungen gebildet.
</t>
        </r>
        <r>
          <rPr>
            <b/>
            <sz val="8"/>
            <color indexed="81"/>
            <rFont val="Arial"/>
            <family val="2"/>
          </rPr>
          <t xml:space="preserve">
Bitte geben Sie hier nicht liquiditätswirksame Veränderungen von Rückstellungen ein. Effektive Beanspruchungen sind in der Geschäftsentwicklung als Kostenpunkt zu erfassen.
</t>
        </r>
        <r>
          <rPr>
            <sz val="8"/>
            <color indexed="81"/>
            <rFont val="Arial"/>
            <family val="2"/>
          </rPr>
          <t>Beispiel: Im Jahr X wurde in einem Prozess gegen die Muster AG eine Schadenersatzforderung von 20 angestrebt. Der Prozess wurde im Jahr X+2 abgeschlossen und das Gericht verpflichtet die Muster AG 15 zu zahlen. Eingabe im Finanzmodell: 
1) Jahr X:                - Bildung von Rückstellungen                         +20 
2) Jahr X+2:          - Auflösung von Rückstellungen                    -20
                                    (ergibt a.o. Ertrag)
                                  - Erhöhung "Übriger Betriebsaufwand"        +15
                                    (liquidiätswirksamer Aufwand) um</t>
        </r>
      </text>
    </comment>
  </commentList>
</comments>
</file>

<file path=xl/comments3.xml><?xml version="1.0" encoding="utf-8"?>
<comments xmlns="http://schemas.openxmlformats.org/spreadsheetml/2006/main">
  <authors>
    <author>Reto Rüttimann</author>
  </authors>
  <commentList>
    <comment ref="C20" authorId="0" shapeId="0">
      <text>
        <r>
          <rPr>
            <b/>
            <sz val="8"/>
            <color indexed="81"/>
            <rFont val="Arial"/>
            <family val="2"/>
          </rPr>
          <t xml:space="preserve">Bei Einzelunternehmungen: </t>
        </r>
        <r>
          <rPr>
            <sz val="8"/>
            <color indexed="81"/>
            <rFont val="Arial"/>
            <family val="2"/>
          </rPr>
          <t xml:space="preserve">
Bitte erfassen Sie hier nebst Drittlöhnen auch den Eigenlohn des Unternehmers.</t>
        </r>
      </text>
    </comment>
    <comment ref="C54" authorId="0" shapeId="0">
      <text>
        <r>
          <rPr>
            <sz val="8"/>
            <color indexed="81"/>
            <rFont val="Arial"/>
            <family val="2"/>
          </rPr>
          <t>Bitte geben Sie hier eine allfällige Investitionssumme ein. Bitte beachten Sie, dass die hier erfasste Investition vollständig aktiviert, d.h. in der Bilanz im Anlagevermögen erfasst wird.</t>
        </r>
      </text>
    </comment>
    <comment ref="C55" authorId="0" shapeId="0">
      <text>
        <r>
          <rPr>
            <sz val="8"/>
            <color indexed="81"/>
            <rFont val="Arial"/>
            <family val="2"/>
          </rPr>
          <t>Bitte geben Sie hier den effektiv zu erwartende Erlös aus dem Verkauf eines bestehenden Vermögensgegenstands ein.</t>
        </r>
      </text>
    </comment>
    <comment ref="C56" authorId="0" shapeId="0">
      <text>
        <r>
          <rPr>
            <sz val="8"/>
            <color indexed="81"/>
            <rFont val="Arial"/>
            <family val="2"/>
          </rPr>
          <t>Nur bei Desinvestitionen:
Bitte geben Sie hier den Buchwert des zu verkaufenden Gutes ein (Wert, mit dem der Vermögensgegenstand noch in der Bilanz ausgewiesen ist).</t>
        </r>
      </text>
    </comment>
    <comment ref="C61" authorId="0" shapeId="0">
      <text>
        <r>
          <rPr>
            <sz val="8"/>
            <color indexed="81"/>
            <rFont val="Arial"/>
            <family val="2"/>
          </rPr>
          <t>Bitte geben Sie hier eine allfällige Investitionssumme ein. Bitte beachten Sie, dass die hier erfasste Investition vollständig aktiviert, d.h. in der Bilanz im Anlagevermögen erfasst wird.</t>
        </r>
      </text>
    </comment>
    <comment ref="C62" authorId="0" shapeId="0">
      <text>
        <r>
          <rPr>
            <sz val="8"/>
            <color indexed="81"/>
            <rFont val="Arial"/>
            <family val="2"/>
          </rPr>
          <t>Bitte geben Sie hier den effektiv zu erwartende Erlös aus dem Verkauf eines bestehenden Vermögensgegenstands ein.</t>
        </r>
      </text>
    </comment>
    <comment ref="C63" authorId="0" shapeId="0">
      <text>
        <r>
          <rPr>
            <sz val="8"/>
            <color indexed="81"/>
            <rFont val="Arial"/>
            <family val="2"/>
          </rPr>
          <t>Nur bei Desinvestitionen:
Bitte geben Sie hier den Buchwert des zu verkaufenden Gutes ein (Wert, mit dem der Vermögensgegenstand noch in der Bilanz ausgewiesen ist).</t>
        </r>
      </text>
    </comment>
    <comment ref="C68" authorId="0" shapeId="0">
      <text>
        <r>
          <rPr>
            <sz val="8"/>
            <color indexed="81"/>
            <rFont val="Arial"/>
            <family val="2"/>
          </rPr>
          <t>Bitte geben Sie hier eine allfällige Investitionssumme ein. Bitte beachten Sie, dass die hier erfasste Investition vollständig aktiviert, d.h. in der Bilanz im Anlagevermögen erfasst wird.</t>
        </r>
      </text>
    </comment>
    <comment ref="C69" authorId="0" shapeId="0">
      <text>
        <r>
          <rPr>
            <sz val="8"/>
            <color indexed="81"/>
            <rFont val="Arial"/>
            <family val="2"/>
          </rPr>
          <t>Bitte geben Sie hier den effektiv zu erwartende Erlös aus dem Verkauf eines bestehenden Vermögensgegenstands ein.</t>
        </r>
      </text>
    </comment>
    <comment ref="C70" authorId="0" shapeId="0">
      <text>
        <r>
          <rPr>
            <sz val="8"/>
            <color indexed="81"/>
            <rFont val="Arial"/>
            <family val="2"/>
          </rPr>
          <t>Nur bei Desinvestitionen:
Bitte geben Sie hier den Buchwert des zu verkaufenden Gutes ein (Wert, mit dem der Vermögensgegenstand noch in der Bilanz ausgewiesen ist).</t>
        </r>
      </text>
    </comment>
  </commentList>
</comments>
</file>

<file path=xl/comments4.xml><?xml version="1.0" encoding="utf-8"?>
<comments xmlns="http://schemas.openxmlformats.org/spreadsheetml/2006/main">
  <authors>
    <author>Reto Rüttimann</author>
  </authors>
  <commentList>
    <comment ref="C24" authorId="0" shapeId="0">
      <text>
        <r>
          <rPr>
            <b/>
            <sz val="8"/>
            <color indexed="81"/>
            <rFont val="Arial"/>
            <family val="2"/>
          </rPr>
          <t xml:space="preserve">Hier können Sie bestehende langfristige Finanzverbindlichkeiten reduzieren (-) bzw. erhöhen oder neu aufnehmen (+). 
</t>
        </r>
        <r>
          <rPr>
            <sz val="8"/>
            <color indexed="81"/>
            <rFont val="Arial"/>
            <family val="2"/>
          </rPr>
          <t xml:space="preserve">
In diesem Zusammenhang ist die "Goldene Finanzierungsregel" zu beachten: Dies ist ein auf der Fristenkongruenz beruhendes Prinzip, in dem in der Bilanz die Fristigkeit der Aktivseite und der Passivseite aufeinander abzustimmen sind. Demnach sollte das Anlagevermögen mit langfristigem Kapital (Eigenkapital, langfristiges Fremdkapital etc.) und das Umlaufvermögen mit kurzfristigem Kapital (Kreditoren, Bankkredit etc.)  finanziert werden. </t>
        </r>
      </text>
    </comment>
    <comment ref="C25" authorId="0" shapeId="0">
      <text>
        <r>
          <rPr>
            <b/>
            <sz val="8"/>
            <color indexed="81"/>
            <rFont val="Arial"/>
            <family val="2"/>
          </rPr>
          <t xml:space="preserve">Hier haben Sie die Möglichkeit, weiteres Eigenkapital in Ihre Unternehmung einzubringen. 
</t>
        </r>
        <r>
          <rPr>
            <sz val="8"/>
            <color indexed="81"/>
            <rFont val="Arial"/>
            <family val="2"/>
          </rPr>
          <t xml:space="preserve">
In diesem Zusammenhang ist die "Goldene Finanzierungsregel" zu beachten: Dies ist ein auf der Fristenkongruenz beruhendes Prinzip, in dem in der Bilanz die Fristigkeit der Aktivseite und der Passivseite aufeinander abzustimmen sind. Demnach sollte das Anlagevermögen mit langfristigem Kapital (Eigenkapital, langfristiges Fremdkapital etc.) und das Umlaufvermögen mit kurzfristigem Kapital (Kreditoren, Bankkredit etc.)  finanziert werden. </t>
        </r>
      </text>
    </comment>
    <comment ref="C26" authorId="0" shapeId="0">
      <text>
        <r>
          <rPr>
            <b/>
            <sz val="8"/>
            <color indexed="81"/>
            <rFont val="Arial"/>
            <family val="2"/>
          </rPr>
          <t>Hier haben Sie die Möglichkeit, Gewinnanteile oder in der Vergangenheit erarbeitetes Eigenkapital auszuschütten.</t>
        </r>
        <r>
          <rPr>
            <sz val="8"/>
            <color indexed="81"/>
            <rFont val="Arial"/>
            <family val="2"/>
          </rPr>
          <t xml:space="preserve">
Bitte beachten Sie die je nach Rechtsform Ihrer Unternehmung geltenden, handelsrechtlichen Vorschriften.</t>
        </r>
      </text>
    </comment>
  </commentList>
</comments>
</file>

<file path=xl/comments5.xml><?xml version="1.0" encoding="utf-8"?>
<comments xmlns="http://schemas.openxmlformats.org/spreadsheetml/2006/main">
  <authors>
    <author>Reto Rüttimann</author>
  </authors>
  <commentList>
    <comment ref="C9" authorId="0" shapeId="0">
      <text>
        <r>
          <rPr>
            <sz val="8"/>
            <color indexed="81"/>
            <rFont val="Arial"/>
            <family val="2"/>
          </rPr>
          <t>Der Wert zeigt, zu wie viel % das kurzfristige Fremdkapital durch den Bestand an Zahlungsmitteln plus Forderungen gedeckt ist (ohne Warenvorräte). Werte ab 80 - 100% erscheinen in der Regel als ausreichend. Eine wirkliche fundierte Beurteilung der zukünftigen Zahlungsfähigkeit gelingt aber nur anhand eines Liquiditätsplanes. Bei ungenügender Liquidität ist die Zahlungsbereitschaft zu beurteilen. Dazu sind die offenen nicht beanspruchten Kreditlimiten sowie die Debitoren- und Kreditorenfrist heranzuziehen.</t>
        </r>
      </text>
    </comment>
    <comment ref="C10" authorId="0" shapeId="0">
      <text>
        <r>
          <rPr>
            <sz val="8"/>
            <color indexed="81"/>
            <rFont val="Arial"/>
            <family val="2"/>
          </rPr>
          <t>Der Wert zeigt, zu wie viel % das kurzfristige Fremdkapital durch das Umlaufsvermögen gedeckt ist. In der Regel sind Werte von 150 – 200% ausreichend. Wenn der Liquiditätsgrad II eher ungenügend und der Liquiditätsgrad III hoch ist, weist dies in der Regel auf ein zu hohes Warenlager hin. Bei ungenügender Liquidität ist analog dem Liquiditätsgrad II die Zahlungsbereitschaft zu beurteilen.</t>
        </r>
      </text>
    </comment>
    <comment ref="C11" authorId="0" shapeId="0">
      <text>
        <r>
          <rPr>
            <b/>
            <sz val="8"/>
            <color indexed="81"/>
            <rFont val="Arial"/>
            <family val="2"/>
          </rPr>
          <t>Kennzahl entspricht manueller Eingabe in der Lasche "Eröffnungsbilanz &amp; Bilanzparameter".</t>
        </r>
        <r>
          <rPr>
            <sz val="8"/>
            <color indexed="81"/>
            <rFont val="Arial"/>
            <family val="2"/>
          </rPr>
          <t xml:space="preserve">
Die Debitorenfrist gibt an, nach wie vielen Tagen im Durchschnitt die Fakturen bezahlt werden. Sie ist dahingehend zu beurteilen, ob die in Anspruch genommenen Zahlungsziele im branchenüblichen Rahmen liegen. Die Verschlechterung der Kennzahl kann auf steigende Delkredere-Risiken hinweisen; es besteht aber eine gewisse Stichtagsabhängigkeit. Zur Beurteilung ist auch die Kreditorenfrist und der Liquiditätsgrad heranzuziehen.</t>
        </r>
      </text>
    </comment>
    <comment ref="C12" authorId="0" shapeId="0">
      <text>
        <r>
          <rPr>
            <b/>
            <sz val="8"/>
            <color indexed="81"/>
            <rFont val="Arial"/>
            <family val="2"/>
          </rPr>
          <t>Kennzahl entspricht manueller Eingabe in der Lasche "Eröffnungsbilanz &amp; Bilanzparameter".</t>
        </r>
        <r>
          <rPr>
            <sz val="8"/>
            <color indexed="81"/>
            <rFont val="Arial"/>
            <family val="2"/>
          </rPr>
          <t xml:space="preserve">
Die Kreditorenfrist gibt an, nach wie vielen Tagen im Durchschnitt die Lieferantenrechnungen bezahlt werden. Sie ist dahingehend zu beurteilen, ob die in Anspruch genommenen Zahlungsziele im branchenüblichen Rahmen liegen. Stark zunehmende Werte weisen auf Zahlungsschwierigkeiten hin; es besteht aber eine gewisse Stichtagsabhängigkeit. Zur Beurteilung ist auch die Debitorenfrist und der Liquiditätsgrad heranzuziehen.</t>
        </r>
      </text>
    </comment>
    <comment ref="C13" authorId="0" shapeId="0">
      <text>
        <r>
          <rPr>
            <b/>
            <sz val="8"/>
            <color indexed="81"/>
            <rFont val="Arial"/>
            <family val="2"/>
          </rPr>
          <t>Kennzahl entspricht manueller Eingabe in der Lasche "Eröffnungsbilanz &amp; Bilanzparameter".</t>
        </r>
        <r>
          <rPr>
            <sz val="8"/>
            <color indexed="81"/>
            <rFont val="Arial"/>
            <family val="2"/>
          </rPr>
          <t xml:space="preserve">
Dieser Wert gibt Hinweise auf die Lagerpolitik und den Absatzerfolg. Kurze Fristen weisen auf eine gute Geschäftstätigkeit, lange auf allfällige Verkaufsprobleme hin.</t>
        </r>
      </text>
    </comment>
    <comment ref="C16" authorId="0" shapeId="0">
      <text>
        <r>
          <rPr>
            <sz val="8"/>
            <color indexed="81"/>
            <rFont val="Arial"/>
            <family val="2"/>
          </rPr>
          <t>Die Kennzahl zeigt die relative Ertragsstärke der investierten eigenen Mittel des Unternehmens. Sie ist die zentrale Erfolgszielgrösse für den Unternehmer (Aktionär).
Für die Unternehmensbeurteilung ist die Gesamtkapitalrendite ebenfalls zu berücksichtigen, da sie die Verzinsung des gesamten eingesetzten Kapitals der Unternehmung angibt. Wenn die Gesamtkapitalrendite über den Zinsen bzw. der Kosten für das Fremdkapital liegt, dann erwirtschaftet praktisch jedes im Betrieb investierte Fremdkapital mehr an Überschuss als dessen Einsatz kostet.</t>
        </r>
      </text>
    </comment>
    <comment ref="C17" authorId="0" shapeId="0">
      <text>
        <r>
          <rPr>
            <sz val="8"/>
            <color indexed="81"/>
            <rFont val="Arial"/>
            <family val="2"/>
          </rPr>
          <t>Der Verschuldungsfaktor gibt an, innerhalb wie vieler Jahre die verzinsliche Nettoverschuldung (nach Abzug Liquidität) durch den EBITDA getilgt werden könnte. Je kleiner also diese Kennzahl ausfällt, desto weniger Jahre benötigt die Unternehmung, ihre Schulden begleichen zu können.</t>
        </r>
      </text>
    </comment>
    <comment ref="C18" authorId="0" shapeId="0">
      <text>
        <r>
          <rPr>
            <sz val="8"/>
            <color indexed="81"/>
            <rFont val="Arial"/>
            <family val="2"/>
          </rPr>
          <t>Das Verhältnis des Cash-flow zu den Investitionen zeigt in welchem Umfang das Unternehmen in der Lage ist, seine Investitionen mit selbst erarbeiteten Mitteln zu finanzieren. Je höher dieser Wert ausfällt, umso besser für das Unternehmen.</t>
        </r>
      </text>
    </comment>
    <comment ref="C19" authorId="0" shapeId="0">
      <text>
        <r>
          <rPr>
            <sz val="8"/>
            <color indexed="81"/>
            <rFont val="Arial"/>
            <family val="2"/>
          </rPr>
          <t>Die Kennzahl zeigt, wieviel Prozent der Gesamtleistung im Unternehmen bleiben und wie hoch die Eigenfinanzierungskraft ist.</t>
        </r>
      </text>
    </comment>
    <comment ref="C20" authorId="0" shapeId="0">
      <text>
        <r>
          <rPr>
            <sz val="8"/>
            <color indexed="81"/>
            <rFont val="Arial"/>
            <family val="2"/>
          </rPr>
          <t>Der Zinsdeckungsgrad errechnet sich aus dem Verhältnis EBITDA zum Nettofinanzaufwand (Zinsaufwand abzüglich Zinsertrag). Diese Kennzahl zeigt die Fähigkeit eines Unternehmens, den Zinsverpflichtungen nachzukommen zu können. Ein Zinsdeckungsgrad von nur knapp über 1 zeigt auf, dass eine geringe Zinserhöhung allenfalls nicht mehr aus dem Geschäftsergebnis bezahlt werden kann.</t>
        </r>
      </text>
    </comment>
    <comment ref="C23" authorId="0" shapeId="0">
      <text>
        <r>
          <rPr>
            <sz val="8"/>
            <color indexed="81"/>
            <rFont val="Arial"/>
            <family val="2"/>
          </rPr>
          <t>Die Prozentzahl zeigt, mit welchem Anteil das Anlagevermögen durch Eigenkapital und langfristiges Fremdkapital finanziert ist. Übliche Werte liegen deutlich über 100 %, mindestens etwa ab 120%. Hohe Werte weisen auf grösseren finanziellen Spielraum hin. Vorsicht geboten ist bei einem Anlagedeckungsgrad unter 100%, weil dann ein Teil des Anlagevermögens mit kurzfristigen Schulden finanziert und damit die Zahlungsfähigkeit des Unternehmens gefährdet sein kann.</t>
        </r>
      </text>
    </comment>
    <comment ref="C24" authorId="0" shapeId="0">
      <text>
        <r>
          <rPr>
            <sz val="8"/>
            <color indexed="81"/>
            <rFont val="Arial"/>
            <family val="2"/>
          </rPr>
          <t>Die Kennzahl zeigt das Verhältnis zwischen Eigenkapital und Gesamtkapital auf.</t>
        </r>
      </text>
    </comment>
  </commentList>
</comments>
</file>

<file path=xl/comments6.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7.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8.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9.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comments10.xml><?xml version="1.0" encoding="utf-8"?>
<comments xmlns="http://schemas.openxmlformats.org/spreadsheetml/2006/main">
  <authors>
    <author>Reto Rüttimann</author>
  </authors>
  <commentList>
    <comment ref="I7" authorId="0" shapeId="0">
      <text>
        <r>
          <rPr>
            <sz val="8"/>
            <color indexed="81"/>
            <rFont val="Arial"/>
            <family val="2"/>
          </rPr>
          <t>In dieser Spalte werden die jährlichen Ein- und Ausgänge aus der Erfolgsrechnung abgebildet.</t>
        </r>
      </text>
    </comment>
    <comment ref="J7" authorId="0" shapeId="0">
      <text>
        <r>
          <rPr>
            <sz val="8"/>
            <color indexed="81"/>
            <rFont val="Arial"/>
            <family val="2"/>
          </rPr>
          <t>In dieser Spalte werden die auf Monatsbasis zuzuteilenden Ein- und Ausgänge addiert.</t>
        </r>
      </text>
    </comment>
    <comment ref="K7" authorId="0" shapeId="0">
      <text>
        <r>
          <rPr>
            <sz val="8"/>
            <color indexed="81"/>
            <rFont val="Arial"/>
            <family val="2"/>
          </rPr>
          <t>Nach erfolgter Zuteilung der monatlichen Ein- und Ausgänge sollte die Zuteilung der Vorgabe entsprechen.</t>
        </r>
      </text>
    </comment>
    <comment ref="L7" authorId="0" shapeId="0">
      <text>
        <r>
          <rPr>
            <sz val="8"/>
            <color indexed="81"/>
            <rFont val="Arial"/>
            <family val="2"/>
          </rPr>
          <t>Total der IST-Ein- und Ausgänge.</t>
        </r>
      </text>
    </comment>
    <comment ref="M7" authorId="0" shapeId="0">
      <text>
        <r>
          <rPr>
            <sz val="8"/>
            <color indexed="81"/>
            <rFont val="Arial"/>
            <family val="2"/>
          </rPr>
          <t>Prozentualer Anteil der Total Ist-Ein- und Ausgänge im Verhältnis zu der Soll Vorgabe.</t>
        </r>
      </text>
    </comment>
  </commentList>
</comments>
</file>

<file path=xl/sharedStrings.xml><?xml version="1.0" encoding="utf-8"?>
<sst xmlns="http://schemas.openxmlformats.org/spreadsheetml/2006/main" count="681" uniqueCount="206">
  <si>
    <t>AKTIVEN</t>
  </si>
  <si>
    <t>Umlaufvermögen</t>
  </si>
  <si>
    <t>in %</t>
  </si>
  <si>
    <t>Flüssige Mittel und Wertschriften</t>
  </si>
  <si>
    <t>Forderungen (Debitoren)</t>
  </si>
  <si>
    <t>Total Umlaufvermögen</t>
  </si>
  <si>
    <t>Anlagevermögen</t>
  </si>
  <si>
    <t>Immobile Sachanlagen (Liegenschaften und Grundstücke)</t>
  </si>
  <si>
    <t>Immaterielle Anlagen (Patente, Lizenzen, Goodwill)</t>
  </si>
  <si>
    <t>Total Anlagevermögen</t>
  </si>
  <si>
    <t>Total Aktiven</t>
  </si>
  <si>
    <t>PASSIVEN</t>
  </si>
  <si>
    <t>Fremdkapital kurzfristig</t>
  </si>
  <si>
    <t>Kurzfristige Verbindlichkeiten aus Lieferungen und Leistungen</t>
  </si>
  <si>
    <t>Total Fremdkapital kurzfristig</t>
  </si>
  <si>
    <t>Fremdkapital langfristig</t>
  </si>
  <si>
    <t>Rückstellungen langfristig</t>
  </si>
  <si>
    <t>Total Fremdkapital langfristig</t>
  </si>
  <si>
    <t>Eigenkapital</t>
  </si>
  <si>
    <t>Eigenkapital/Stammkapital/Aktienkapital</t>
  </si>
  <si>
    <t>Total Eigenkapital</t>
  </si>
  <si>
    <t>Total Passiven</t>
  </si>
  <si>
    <t>Übrige kurzfristige Forderungen</t>
  </si>
  <si>
    <t>Vorräte, angefangene Arbeiten (abzüglich Anzahlungen)</t>
  </si>
  <si>
    <t>Maschinen und Mobilien</t>
  </si>
  <si>
    <t>Übrige kurzfristige Verbindlichkeiten</t>
  </si>
  <si>
    <t>Reserven, Bilanzgewinn inkl. Gewinnvortrag</t>
  </si>
  <si>
    <t>Kurzfristige Finanzverbindlichkeiten (Bank-Kontokorrentkredit usw.)</t>
  </si>
  <si>
    <t>Langfristige Finanzverbindlichkeiten (Hypotheken, Bank usw.)</t>
  </si>
  <si>
    <t>Bilanzparameter</t>
  </si>
  <si>
    <t>Eröffnungsbilanz</t>
  </si>
  <si>
    <t>Finanzplanung für Firma:</t>
  </si>
  <si>
    <t>Erstes Geschäftsjahr:</t>
  </si>
  <si>
    <t>Debitorenfrist (in Tagen)</t>
  </si>
  <si>
    <t>Übrige kfr. Forderungen (in % Umsatz)</t>
  </si>
  <si>
    <t>Lagerdauer (in Tagen)</t>
  </si>
  <si>
    <t>Abschreibungen (in % Restwert)</t>
  </si>
  <si>
    <t>ð</t>
  </si>
  <si>
    <t>Kreditorenfrist (in Tagen)</t>
  </si>
  <si>
    <t>Übrige kfr. Verbindlichkeiten (in % Umsatz)</t>
  </si>
  <si>
    <t>Ertrags- und Kostensituation</t>
  </si>
  <si>
    <t>Nettoumsatz / Wachstumsrate Nettoumsatz</t>
  </si>
  <si>
    <t>Nettoumsatz / Wachstumsrate Nettoumsatz in % zu Vorjahr</t>
  </si>
  <si>
    <t>Warenaufwand / Warenaufwand in % zu Nettoumsatz</t>
  </si>
  <si>
    <t>Personalaufwand / Personalaufwand in % zu Nettoumsatz</t>
  </si>
  <si>
    <t>N/A</t>
  </si>
  <si>
    <t>Raumaufwand / Raumaufwand in % zu Nettoumsatz</t>
  </si>
  <si>
    <t>Übriger Betriebsaufwand / Übriger Betriebsaufwand in % zu Nettoumsatz</t>
  </si>
  <si>
    <t>Zinssatz kfr. Finanzverbindlichkeiten (Bank-Kontokorrent)</t>
  </si>
  <si>
    <t>Zinssatz lfr. Finanzverbindlichkeiten (Hypotheken/Darlehen)</t>
  </si>
  <si>
    <t>Investitionsplanung</t>
  </si>
  <si>
    <t/>
  </si>
  <si>
    <t xml:space="preserve">   Buchwert bei Desinvestitionen</t>
  </si>
  <si>
    <t>Total Investitionen (-) / Desinvestitionen (+)</t>
  </si>
  <si>
    <t>Geschäftsentwicklung und Investitionsplanung</t>
  </si>
  <si>
    <t>Betriebsgewinn vor Abschreibungen (EBITDA)</t>
  </si>
  <si>
    <t>Materialaufwand</t>
  </si>
  <si>
    <t>Personalaufwand</t>
  </si>
  <si>
    <t>Planerfolgsrechnung</t>
  </si>
  <si>
    <t>Nettoumsatz</t>
  </si>
  <si>
    <t>Bruttogewinn</t>
  </si>
  <si>
    <t>Raumaufwand</t>
  </si>
  <si>
    <t>Werbeaufwand</t>
  </si>
  <si>
    <t>Übriger Betriebsaufwand</t>
  </si>
  <si>
    <t>Abschreibungen Maschinen und Mobilien</t>
  </si>
  <si>
    <t>Abschreibungen Immobile Sachanlagen</t>
  </si>
  <si>
    <t>Abschreibungen Immaterielle Anlagen</t>
  </si>
  <si>
    <t>Betriebsgewinn (EBIT)</t>
  </si>
  <si>
    <t>Ausserordentlicher Ertrag</t>
  </si>
  <si>
    <t>Veränderung Buchwert</t>
  </si>
  <si>
    <t>Desinvestitionen  (+ Eingabe)</t>
  </si>
  <si>
    <t>Investitionen       (-  Eingabe)</t>
  </si>
  <si>
    <t>Planbilanz</t>
  </si>
  <si>
    <t>Mittelflussrechnung / Cashflow Statement</t>
  </si>
  <si>
    <t>Steueraufwand</t>
  </si>
  <si>
    <t>Reingewinn</t>
  </si>
  <si>
    <t>Abschreibungen</t>
  </si>
  <si>
    <t>Cashflow (klassisch)</t>
  </si>
  <si>
    <t>Cashflow aus Geschäftstätigkeit</t>
  </si>
  <si>
    <t>Kurzfristige Finanzverbindlichkeiten (Kontokorrentkredit usw.)</t>
  </si>
  <si>
    <t xml:space="preserve">Immobile Sachanlagen </t>
  </si>
  <si>
    <t xml:space="preserve">Immaterielle Anlagen </t>
  </si>
  <si>
    <t>Free Cashflow</t>
  </si>
  <si>
    <t>Finanzaufwand (Fremdkapitalzinsen)</t>
  </si>
  <si>
    <t>Free Cashflow vor Zinsen (brutto)</t>
  </si>
  <si>
    <t>Free Cashflow (netto)</t>
  </si>
  <si>
    <t>Erhöhung (+) / Reduktion Stammkapital (z.B. Aktienkapital)</t>
  </si>
  <si>
    <t>Steueraufwand in % des Gewinns vor Steuern</t>
  </si>
  <si>
    <t>Finanzierungsplanung</t>
  </si>
  <si>
    <t>- Gewinnausschüttung (z.B. Dividenden)</t>
  </si>
  <si>
    <t>Flüssige Mittel und Wertschriften (Liquidität)</t>
  </si>
  <si>
    <t>kalk. brutto</t>
  </si>
  <si>
    <t>Gewinn vor Steuern und einmaligem Erfolg</t>
  </si>
  <si>
    <t>Einmaliger, ausserordentlicher Aufwand</t>
  </si>
  <si>
    <t>Einmaliger, ausserordentlicher Ertrag</t>
  </si>
  <si>
    <t>Netto Veräusserungsgewinn (-) / -verlust (+) Anlagevermögen</t>
  </si>
  <si>
    <t>+ Fremdkapitalzinsen lfr. Finanzierung</t>
  </si>
  <si>
    <t>+ Fremdkapitalzinsen kfr. Finanzierung</t>
  </si>
  <si>
    <t xml:space="preserve"> - Abrechnung bei SB 0 kfr. Finanzierung</t>
  </si>
  <si>
    <t>Zu- (+) / Abnahme (-) Kurzfristige Finanzverbindlichkeiten (Kontokorrentkredit usw.)</t>
  </si>
  <si>
    <t xml:space="preserve">Erhöhung (+) / Reduktion (-) Langfristige Finanzverbindlichkeiten </t>
  </si>
  <si>
    <t>Auszahlung (-) Gewinnanteil Eigentümer (z.B. Dividende)</t>
  </si>
  <si>
    <t xml:space="preserve">Planung </t>
  </si>
  <si>
    <t>Mittelbestand per Jahresende</t>
  </si>
  <si>
    <t>Erarbeitete (+) / Verbrauchte (-) Liquidität (Free Cashflow)</t>
  </si>
  <si>
    <t>Beanspruchung Kontokorrentkredit per Jahresende (-)</t>
  </si>
  <si>
    <t>Erhöhung (+) Eigenkapital/Stammkapital/Aktienkapital</t>
  </si>
  <si>
    <t>Total Bestand Liquide Mittel</t>
  </si>
  <si>
    <t>davon nicht betriebsnotwendig (Liquiditätsüberschuss)</t>
  </si>
  <si>
    <t>Netto-Liquiditätsüberschuss (+) / -unterdeckung (-) vor Finanzierung</t>
  </si>
  <si>
    <t>Netto-Liquiditätsüberschuss (+) / -unterdeckung (-) nach Finanzierung</t>
  </si>
  <si>
    <t>Zu- (+) / Abnahme (-) flüssige Mittel</t>
  </si>
  <si>
    <t>Mittelherkunft/Mittelverwendung (Finanzierung)</t>
  </si>
  <si>
    <t>Kennzahlen</t>
  </si>
  <si>
    <t>KURZAUSWERTUNG KENNZAHLEN</t>
  </si>
  <si>
    <t>Liquidität</t>
  </si>
  <si>
    <t>Ertrag</t>
  </si>
  <si>
    <t>Substanz</t>
  </si>
  <si>
    <t>Verschuldungsfaktor (in Jahren)</t>
  </si>
  <si>
    <t>Zinsdeckungsgrad</t>
  </si>
  <si>
    <t>Liquiditätsgrad II</t>
  </si>
  <si>
    <t>Liquiditätsgrad III</t>
  </si>
  <si>
    <t>Eigenkapitalrendite ROE</t>
  </si>
  <si>
    <t>Cashflow / Nettoinvestitionen</t>
  </si>
  <si>
    <t>EBITDA / Nettoumsatz</t>
  </si>
  <si>
    <t>Anlagedeckungsgrad II</t>
  </si>
  <si>
    <t xml:space="preserve">Eigenfinanzierungsgrad </t>
  </si>
  <si>
    <t>Total</t>
  </si>
  <si>
    <t>Total Ist</t>
  </si>
  <si>
    <t>Soll</t>
  </si>
  <si>
    <t>Ist</t>
  </si>
  <si>
    <t>+</t>
  </si>
  <si>
    <t>=</t>
  </si>
  <si>
    <t>Einzahlungen total</t>
  </si>
  <si>
    <t>Verfügbare Mittel 1</t>
  </si>
  <si>
    <t>-</t>
  </si>
  <si>
    <t>Waren und Materialzahlungen</t>
  </si>
  <si>
    <t>Kapitalzinsen</t>
  </si>
  <si>
    <t>Steuern</t>
  </si>
  <si>
    <t>Auszahlungen Total</t>
  </si>
  <si>
    <t>Brutto-Geldzufluss/-Geldabfluss</t>
  </si>
  <si>
    <t>Verfügbare Mittel 2</t>
  </si>
  <si>
    <t>Einzahlungen aus Anlagenverkauf (Desinvestitionen)</t>
  </si>
  <si>
    <t>Privateinlagen/Kapitalerhöhung</t>
  </si>
  <si>
    <t>Auszahlungen für Investitionen</t>
  </si>
  <si>
    <t>Netto-Geldzufluss/Netto-Geldabfluss</t>
  </si>
  <si>
    <t>Endbestand verfügbare Mittel</t>
  </si>
  <si>
    <t>Überschuss / Manko</t>
  </si>
  <si>
    <t>Anfangsbestand Flüssige Mittel und Wertschriften</t>
  </si>
  <si>
    <t xml:space="preserve">Sonstige Auszahlungen </t>
  </si>
  <si>
    <t>Debitoreneingänge</t>
  </si>
  <si>
    <t>Privatentnahmen/Dividenden</t>
  </si>
  <si>
    <t>Betriebsnotwendige Liquidität</t>
  </si>
  <si>
    <t>Einzahlungen aus Aussenfinanzierung (Kreditaufnahme netto)</t>
  </si>
  <si>
    <t>Kreditrückzahlungen (netto)</t>
  </si>
  <si>
    <t>Thema und Navigation</t>
  </si>
  <si>
    <t>Plan-Mittelflussrechnung / Cashflow-Statement</t>
  </si>
  <si>
    <t>Hier erfassen Sie die Ausgangslage Ihrer Geschäftstätigkeit, nämlich das anfängliche Vermögen (Aktiven) sowie die entsprechende Kapitalstruktur (Passiven). Gleichzeitig erfassen Sie hier Rahmenbedingungen (Parameter) bezüglich Entwicklung der Bilanzstruktur.</t>
  </si>
  <si>
    <t>Kurzbeschreibung</t>
  </si>
  <si>
    <t>In diesem Arbeitsblatt erfassen Sie die zukünftige Entwicklung der Erträge und Kosten Ihrer Geschäftstätigkeit. Im Investitionsplan werden geplante Investitionen und Desinvestitionen erfasst.</t>
  </si>
  <si>
    <t>Die Planerfolgsrechnung (auch Budget genannt) zeigt den zu erwartenden Gewinn der nächsten Jahre. Zu diesem Zweck werden die voraussichtlichen Erträge und Aufwendungen einander gegenübergestellt.</t>
  </si>
  <si>
    <t>Die Mittelflussrechnung zeigt im Rahmen einer Analyse die Herkunft und Verwendung der finanziellen Mittel auf. Eine für die Gesellschaft und die Kapitalgeber wichtige Zwischengrösse der Mittelflussrechnung ist der Free Cashflow, der für die Schuldentilgung und Gewinnausschüttungen zur Verfügung steht.</t>
  </si>
  <si>
    <t>Der Liquiditätsplan prognostiziert die laufenden Einzahlungen und Auszahlungen während eines Jahres. Er zeigt auf, ob genügend Mittel vorhanden sind, um die laufenden Ausgaben (Wareneinkäufe, Löhne, Mieten usw.) bezahlen zu können. Sie können hier also konkret Ihre Finanzplanung auf Jahresbasis vertiefen und die Planung auf Monatsbasis herunterbrechen, wobei der Liquditätsanfangsbestand (1.1) und der Liquditätsendbestand (31.12.) aus der Planbilanz gegeben sind.</t>
  </si>
  <si>
    <t>Eröffnungsbilanz &amp; Bilanzparameter</t>
  </si>
  <si>
    <t>Geschäftsentwicklung &amp; Investitionsplanung</t>
  </si>
  <si>
    <t>Die drei Eingabeblätter Planbilanz, Geschäftsgang und Investitionsplanung sowie Finanzierungsplanung sind unmittelbar miteinander verbunden und sollten auch als Kombination betrachtet werden. So kann zum Beispiel eine Liquiditätsunterdeckung dazu führen, dass Sie vorgesehene Investitionen sistieren und dementsprechend auch den zukünftigen Geschäftsgang wieder anpassen müssen.</t>
  </si>
  <si>
    <t>Hiernach erfassen Sie die wichtigsten Rahmenbedingungen bezüglich Beeinflussung der Bilanzstruktur. Bitte beachten Sie die zusätzlichen Informationen in den Feldern mit der kleinen roten Ecke oben rechts.</t>
  </si>
  <si>
    <t>Im Investitionsplan werden geplante Investitionen und Desinvestitionen festgehalten. Bitte beachten Sie deren Auswirkungen auf den Geschäftsgang. Investitionen beispielsweise lösen im Normalfall kurzfristig eine Kostenerhöhung, langfristig aber eine Umsatzsteigerung oder Kostenreduktion aus.</t>
  </si>
  <si>
    <t>Überschüssige Liquidität per Jahresanfang (+)</t>
  </si>
  <si>
    <t>Bei der Erfassung der Ertrags- und Kostensituation haben Sie zwei Möglichkeiten: Einerseits können Sie sämtliche Werte mit absoluten Zahlen erfassen oder Sie erfassen den Nettoumsatz und die Kosten im Anschluss als prozentuale Anteile dieses Umsatzes. Bitte treffen Sie Ihre Wahl im gegenüberliegenden Drop-Down-Menü.</t>
  </si>
  <si>
    <t>Bitte beachten Sie, dass die Finanzierung von allenfalls hier ausgewiesenen Unterdeckungen mittels Fremdkapital (kurz- oder langfristige Finanzverbindlichkeiten) oder Eigenkapital mit den vorgesehenen Kapitalgebern (Banken/Aktionäre) besprochen werden muss.</t>
  </si>
  <si>
    <t>Die Planbilanz prognostiziert die Vermögens- und Finanzierungsverhältnisse am Ende eines Planjahres. Sie zeigt die Vermögenswerte (Aktiven) und die Finanzierung (Verbindlichkeiten und Eigenkapital / Passiven).</t>
  </si>
  <si>
    <t>Soll zugeteilt</t>
  </si>
  <si>
    <t>Soll Vorgabe</t>
  </si>
  <si>
    <t>IST/Soll</t>
  </si>
  <si>
    <t>Übrige Bareingänge (übrige kurzfristige Forderungen)</t>
  </si>
  <si>
    <t>Betragseingabe:</t>
  </si>
  <si>
    <t>Klicken Sie für die Navigation auf die entsprechende Schaltfläche im Navigationsfenster. Bitte beachten Sie die Reihenfolge entsprechend der Nummerierung des Themas.</t>
  </si>
  <si>
    <t>Felder mit zusätzlichen Informationen erkennen Sie an der kleinen roten Ecke oben rechts. Bitte beachten Sie die darin enthaltenen Hinweise bzw. Informationen.</t>
  </si>
  <si>
    <t>Ergänzen Sie lediglich die gelb markierten Felder. Alle übrigen Angaben werden automatisch berechnet. Geben Sie auf dieser Seite beispielsweise zuerst den Firmennamen, das erste Geschäftsjahr sowie die gewünschte Betragseingabe ein.</t>
  </si>
  <si>
    <t>Kennzahlen zeigen einerseits Relationen zwischen einzelnen Zahlen in Planbilanz und Planerfolgsrechnung und andererseits Wechselbeziehungen zwischen den beiden Planungs-instrumenten auf. Da es sich bei den Kennzahlen um relative Daten handelt, eignen sie sich besonders als konkrete Zielgrössen im Rahmen der Finanzplanung.</t>
  </si>
  <si>
    <t>Bitte erfassen Sie nachfolgend Ihre Vermögens- und Kapitalstruktur. Der Kontenplan ist stark vereinfacht, so dass nicht eindeutige Positionen dem am ehesten treffenden Konto zugewiesen werden müssen (z.B. Transitorische Aktiven = Übrige kurzfristige Forderungen).</t>
  </si>
  <si>
    <t>Raumaufwand/Mieten</t>
  </si>
  <si>
    <t>Erfassung</t>
  </si>
  <si>
    <t>Ausgabe</t>
  </si>
  <si>
    <t>ZKB KMU Check-up</t>
  </si>
  <si>
    <t>Tipps / Anwendungshinweise</t>
  </si>
  <si>
    <t>Nach erfolgter Erfassung der Themen 1) und 2) wird Ihnen hier aufgezeigt, wie viel Liquidität (Cash) Sie erwirtschaftet bzw. vernichtet haben. Dementsprechend müssen Sie Ihre Finanzierungsplanung durchführen oder die Rahmenbedingungen der Themen 1) und 2) überarbeiten.</t>
  </si>
  <si>
    <t>Eingabe Nettoumsatz in CHF sowie relativer Anteil (%) der Kosten</t>
  </si>
  <si>
    <t>Max. Buchwert für Desivestition</t>
  </si>
  <si>
    <t>Bei der Finanzierungsplanung geht es nun um die Zuweisung der erwirtschafteten bzw. verbrauchten Liquidität. In der Position Mittelherkunft/Mittelverwendung können Sie nun wählen, ob Sie einen Liquiditätsüberschuss für eine Kreditrückzahlung oder für eine Dividende verwenden wollen bzw. ob Sie eine Unterdeckung mit einer Kredit- oder Eigenkapitalerhöhung finanzieren möchten. Das vorliegende Tool sieht vor, eine nicht zugewiesene Liquiditätsunterdeckung automatisch dem Kontokorrent-Kredit zu belasten.</t>
  </si>
  <si>
    <t>Erster Monat:</t>
  </si>
  <si>
    <t>Januar</t>
  </si>
  <si>
    <t>Februar</t>
  </si>
  <si>
    <t>März</t>
  </si>
  <si>
    <t>April</t>
  </si>
  <si>
    <t>Mai</t>
  </si>
  <si>
    <t>Juni</t>
  </si>
  <si>
    <t xml:space="preserve">Juli </t>
  </si>
  <si>
    <t>August</t>
  </si>
  <si>
    <t>September</t>
  </si>
  <si>
    <t>Oktober</t>
  </si>
  <si>
    <t>November</t>
  </si>
  <si>
    <t>Dezember</t>
  </si>
  <si>
    <t>in 1'000 CHF</t>
  </si>
  <si>
    <t>GitFit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</si>
</sst>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
    <numFmt numFmtId="167" formatCode="mmmm\ yy"/>
  </numFmts>
  <fonts count="43">
    <font>
      <sz val="11"/>
      <name val="Futura Book"/>
    </font>
    <font>
      <sz val="11"/>
      <name val="Futura Book"/>
    </font>
    <font>
      <sz val="10"/>
      <name val="Futura Book"/>
    </font>
    <font>
      <i/>
      <sz val="10"/>
      <name val="Futura Book"/>
    </font>
    <font>
      <b/>
      <i/>
      <sz val="10"/>
      <name val="Futura Book"/>
    </font>
    <font>
      <sz val="10"/>
      <name val="Arial"/>
      <family val="2"/>
    </font>
    <font>
      <u/>
      <sz val="10"/>
      <color indexed="12"/>
      <name val="Arial"/>
    </font>
    <font>
      <b/>
      <sz val="10"/>
      <name val="Arial"/>
      <family val="2"/>
    </font>
    <font>
      <b/>
      <sz val="10"/>
      <color indexed="9"/>
      <name val="Wingdings"/>
      <charset val="2"/>
    </font>
    <font>
      <b/>
      <sz val="11"/>
      <color indexed="9"/>
      <name val="Wingdings"/>
      <charset val="2"/>
    </font>
    <font>
      <sz val="8"/>
      <name val="Arial"/>
      <family val="2"/>
    </font>
    <font>
      <sz val="10"/>
      <color indexed="8"/>
      <name val="Arial"/>
      <family val="2"/>
    </font>
    <font>
      <b/>
      <sz val="10"/>
      <color indexed="8"/>
      <name val="Wingdings"/>
      <charset val="2"/>
    </font>
    <font>
      <sz val="20"/>
      <name val="Arial"/>
      <family val="2"/>
    </font>
    <font>
      <sz val="22"/>
      <color indexed="9"/>
      <name val="Arial"/>
      <family val="2"/>
    </font>
    <font>
      <sz val="11"/>
      <name val="Arial"/>
      <family val="2"/>
    </font>
    <font>
      <b/>
      <sz val="9"/>
      <name val="Arial"/>
      <family val="2"/>
    </font>
    <font>
      <sz val="9"/>
      <name val="Arial"/>
      <family val="2"/>
    </font>
    <font>
      <sz val="11"/>
      <color indexed="8"/>
      <name val="Arial"/>
      <family val="2"/>
    </font>
    <font>
      <b/>
      <sz val="11"/>
      <name val="Arial"/>
      <family val="2"/>
    </font>
    <font>
      <b/>
      <sz val="11"/>
      <color indexed="9"/>
      <name val="Arial"/>
      <family val="2"/>
    </font>
    <font>
      <sz val="22"/>
      <color indexed="18"/>
      <name val="Arial"/>
      <family val="2"/>
    </font>
    <font>
      <sz val="22"/>
      <name val="Arial"/>
      <family val="2"/>
    </font>
    <font>
      <sz val="22"/>
      <color indexed="21"/>
      <name val="Arial"/>
      <family val="2"/>
    </font>
    <font>
      <sz val="22"/>
      <color indexed="49"/>
      <name val="Arial"/>
      <family val="2"/>
    </font>
    <font>
      <sz val="8"/>
      <color indexed="81"/>
      <name val="Arial"/>
      <family val="2"/>
    </font>
    <font>
      <b/>
      <sz val="11"/>
      <color indexed="10"/>
      <name val="Arial"/>
      <family val="2"/>
    </font>
    <font>
      <b/>
      <sz val="20"/>
      <color indexed="9"/>
      <name val="Arial"/>
      <family val="2"/>
    </font>
    <font>
      <b/>
      <sz val="20"/>
      <color indexed="10"/>
      <name val="Arial"/>
      <family val="2"/>
    </font>
    <font>
      <b/>
      <sz val="9"/>
      <color indexed="9"/>
      <name val="Arial"/>
      <family val="2"/>
    </font>
    <font>
      <b/>
      <sz val="10"/>
      <color indexed="9"/>
      <name val="Arial"/>
      <family val="2"/>
    </font>
    <font>
      <sz val="10"/>
      <color indexed="9"/>
      <name val="Arial"/>
      <family val="2"/>
    </font>
    <font>
      <sz val="10"/>
      <color indexed="48"/>
      <name val="Arial"/>
      <family val="2"/>
    </font>
    <font>
      <b/>
      <sz val="10"/>
      <color indexed="48"/>
      <name val="Arial"/>
      <family val="2"/>
    </font>
    <font>
      <b/>
      <sz val="11"/>
      <color indexed="48"/>
      <name val="Arial"/>
      <family val="2"/>
    </font>
    <font>
      <b/>
      <sz val="10"/>
      <color indexed="10"/>
      <name val="Wingdings"/>
      <charset val="2"/>
    </font>
    <font>
      <b/>
      <sz val="11"/>
      <color indexed="10"/>
      <name val="Wingdings"/>
      <charset val="2"/>
    </font>
    <font>
      <sz val="11"/>
      <color indexed="9"/>
      <name val="Arial"/>
      <family val="2"/>
    </font>
    <font>
      <i/>
      <sz val="10"/>
      <name val="Arial"/>
      <family val="2"/>
    </font>
    <font>
      <b/>
      <i/>
      <sz val="10"/>
      <name val="Arial"/>
      <family val="2"/>
    </font>
    <font>
      <i/>
      <sz val="10"/>
      <color indexed="48"/>
      <name val="Arial"/>
      <family val="2"/>
    </font>
    <font>
      <b/>
      <sz val="8"/>
      <color indexed="81"/>
      <name val="Arial"/>
      <family val="2"/>
    </font>
    <font>
      <u/>
      <sz val="8"/>
      <color indexed="81"/>
      <name val="Arial"/>
      <family val="2"/>
    </font>
  </fonts>
  <fills count="12">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41"/>
        <bgColor indexed="64"/>
      </patternFill>
    </fill>
    <fill>
      <patternFill patternType="solid">
        <fgColor indexed="18"/>
        <bgColor indexed="64"/>
      </patternFill>
    </fill>
    <fill>
      <patternFill patternType="solid">
        <fgColor indexed="49"/>
        <bgColor indexed="64"/>
      </patternFill>
    </fill>
    <fill>
      <patternFill patternType="solid">
        <fgColor indexed="21"/>
        <bgColor indexed="64"/>
      </patternFill>
    </fill>
    <fill>
      <patternFill patternType="solid">
        <fgColor indexed="15"/>
        <bgColor indexed="64"/>
      </patternFill>
    </fill>
    <fill>
      <patternFill patternType="solid">
        <fgColor indexed="48"/>
        <bgColor indexed="64"/>
      </patternFill>
    </fill>
    <fill>
      <patternFill patternType="solid">
        <fgColor indexed="47"/>
        <bgColor indexed="64"/>
      </patternFill>
    </fill>
    <fill>
      <patternFill patternType="solid">
        <fgColor indexed="9"/>
        <bgColor indexed="64"/>
      </patternFill>
    </fill>
  </fills>
  <borders count="145">
    <border>
      <left/>
      <right/>
      <top/>
      <bottom/>
      <diagonal/>
    </border>
    <border>
      <left style="thin">
        <color indexed="22"/>
      </left>
      <right style="thin">
        <color indexed="22"/>
      </right>
      <top style="thin">
        <color indexed="22"/>
      </top>
      <bottom style="thin">
        <color indexed="22"/>
      </bottom>
      <diagonal/>
    </border>
    <border>
      <left style="thin">
        <color indexed="64"/>
      </left>
      <right/>
      <top style="thin">
        <color indexed="55"/>
      </top>
      <bottom style="thin">
        <color indexed="55"/>
      </bottom>
      <diagonal/>
    </border>
    <border>
      <left style="medium">
        <color indexed="64"/>
      </left>
      <right/>
      <top style="thin">
        <color indexed="55"/>
      </top>
      <bottom style="thin">
        <color indexed="55"/>
      </bottom>
      <diagonal/>
    </border>
    <border>
      <left style="thin">
        <color indexed="55"/>
      </left>
      <right style="medium">
        <color indexed="64"/>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diagonal/>
    </border>
    <border>
      <left style="thin">
        <color indexed="55"/>
      </left>
      <right style="thin">
        <color indexed="64"/>
      </right>
      <top style="thin">
        <color indexed="64"/>
      </top>
      <bottom/>
      <diagonal/>
    </border>
    <border>
      <left style="thin">
        <color indexed="55"/>
      </left>
      <right style="thin">
        <color indexed="64"/>
      </right>
      <top/>
      <bottom/>
      <diagonal/>
    </border>
    <border>
      <left style="thin">
        <color indexed="64"/>
      </left>
      <right style="thin">
        <color indexed="55"/>
      </right>
      <top style="thin">
        <color indexed="55"/>
      </top>
      <bottom style="thin">
        <color indexed="55"/>
      </bottom>
      <diagonal/>
    </border>
    <border>
      <left/>
      <right style="medium">
        <color indexed="64"/>
      </right>
      <top style="thin">
        <color indexed="55"/>
      </top>
      <bottom style="thin">
        <color indexed="55"/>
      </bottom>
      <diagonal/>
    </border>
    <border>
      <left style="medium">
        <color indexed="64"/>
      </left>
      <right/>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style="thin">
        <color indexed="64"/>
      </left>
      <right style="thin">
        <color indexed="55"/>
      </right>
      <top style="thin">
        <color indexed="55"/>
      </top>
      <bottom/>
      <diagonal/>
    </border>
    <border>
      <left/>
      <right style="medium">
        <color indexed="64"/>
      </right>
      <top style="thin">
        <color indexed="55"/>
      </top>
      <bottom/>
      <diagonal/>
    </border>
    <border>
      <left style="thin">
        <color indexed="55"/>
      </left>
      <right style="medium">
        <color indexed="64"/>
      </right>
      <top/>
      <bottom/>
      <diagonal/>
    </border>
    <border>
      <left style="thin">
        <color indexed="64"/>
      </left>
      <right/>
      <top/>
      <bottom style="thin">
        <color indexed="55"/>
      </bottom>
      <diagonal/>
    </border>
    <border>
      <left style="medium">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thin">
        <color indexed="64"/>
      </right>
      <top/>
      <bottom style="thin">
        <color indexed="55"/>
      </bottom>
      <diagonal/>
    </border>
    <border>
      <left style="thin">
        <color indexed="64"/>
      </left>
      <right style="thin">
        <color indexed="55"/>
      </right>
      <top/>
      <bottom style="thin">
        <color indexed="55"/>
      </bottom>
      <diagonal/>
    </border>
    <border>
      <left/>
      <right style="medium">
        <color indexed="64"/>
      </right>
      <top/>
      <bottom style="thin">
        <color indexed="55"/>
      </bottom>
      <diagonal/>
    </border>
    <border>
      <left style="thin">
        <color indexed="55"/>
      </left>
      <right style="medium">
        <color indexed="64"/>
      </right>
      <top/>
      <bottom style="thin">
        <color indexed="55"/>
      </bottom>
      <diagonal/>
    </border>
    <border>
      <left style="thin">
        <color indexed="55"/>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55"/>
      </top>
      <bottom/>
      <diagonal/>
    </border>
    <border>
      <left style="thin">
        <color indexed="55"/>
      </left>
      <right style="medium">
        <color indexed="64"/>
      </right>
      <top style="thin">
        <color indexed="55"/>
      </top>
      <bottom/>
      <diagonal/>
    </border>
    <border>
      <left style="thin">
        <color indexed="64"/>
      </left>
      <right style="thin">
        <color indexed="55"/>
      </right>
      <top/>
      <bottom/>
      <diagonal/>
    </border>
    <border>
      <left/>
      <right style="medium">
        <color indexed="64"/>
      </right>
      <top/>
      <bottom/>
      <diagonal/>
    </border>
    <border>
      <left style="thin">
        <color indexed="55"/>
      </left>
      <right/>
      <top/>
      <bottom/>
      <diagonal/>
    </border>
    <border>
      <left style="thin">
        <color indexed="55"/>
      </left>
      <right style="thin">
        <color indexed="64"/>
      </right>
      <top style="medium">
        <color indexed="64"/>
      </top>
      <bottom style="medium">
        <color indexed="64"/>
      </bottom>
      <diagonal/>
    </border>
    <border>
      <left style="thin">
        <color indexed="64"/>
      </left>
      <right/>
      <top style="thin">
        <color indexed="55"/>
      </top>
      <bottom style="thin">
        <color indexed="64"/>
      </bottom>
      <diagonal/>
    </border>
    <border>
      <left style="medium">
        <color indexed="64"/>
      </left>
      <right/>
      <top style="thin">
        <color indexed="55"/>
      </top>
      <bottom style="thin">
        <color indexed="64"/>
      </bottom>
      <diagonal/>
    </border>
    <border>
      <left style="thin">
        <color indexed="55"/>
      </left>
      <right style="thin">
        <color indexed="55"/>
      </right>
      <top style="thin">
        <color indexed="55"/>
      </top>
      <bottom style="thin">
        <color indexed="64"/>
      </bottom>
      <diagonal/>
    </border>
    <border>
      <left style="thin">
        <color indexed="55"/>
      </left>
      <right style="thin">
        <color indexed="64"/>
      </right>
      <top style="thin">
        <color indexed="55"/>
      </top>
      <bottom style="thin">
        <color indexed="64"/>
      </bottom>
      <diagonal/>
    </border>
    <border>
      <left style="thin">
        <color indexed="64"/>
      </left>
      <right style="thin">
        <color indexed="55"/>
      </right>
      <top style="thin">
        <color indexed="55"/>
      </top>
      <bottom style="thin">
        <color indexed="64"/>
      </bottom>
      <diagonal/>
    </border>
    <border>
      <left/>
      <right style="medium">
        <color indexed="64"/>
      </right>
      <top style="thin">
        <color indexed="55"/>
      </top>
      <bottom style="thin">
        <color indexed="64"/>
      </bottom>
      <diagonal/>
    </border>
    <border>
      <left/>
      <right/>
      <top style="thin">
        <color indexed="9"/>
      </top>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55"/>
      </top>
      <bottom style="thin">
        <color indexed="55"/>
      </bottom>
      <diagonal/>
    </border>
    <border>
      <left style="thin">
        <color indexed="22"/>
      </left>
      <right/>
      <top style="thin">
        <color indexed="22"/>
      </top>
      <bottom style="thin">
        <color indexed="22"/>
      </bottom>
      <diagonal/>
    </border>
    <border>
      <left style="thin">
        <color indexed="64"/>
      </left>
      <right style="thin">
        <color indexed="64"/>
      </right>
      <top style="thin">
        <color indexed="55"/>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55"/>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22"/>
      </right>
      <top style="medium">
        <color indexed="64"/>
      </top>
      <bottom/>
      <diagonal/>
    </border>
    <border>
      <left style="thin">
        <color indexed="22"/>
      </left>
      <right style="thin">
        <color indexed="64"/>
      </right>
      <top style="medium">
        <color indexed="64"/>
      </top>
      <bottom/>
      <diagonal/>
    </border>
    <border>
      <left style="thin">
        <color indexed="64"/>
      </left>
      <right style="thin">
        <color indexed="22"/>
      </right>
      <top style="medium">
        <color indexed="64"/>
      </top>
      <bottom/>
      <diagonal/>
    </border>
    <border>
      <left/>
      <right style="thin">
        <color indexed="22"/>
      </right>
      <top/>
      <bottom/>
      <diagonal/>
    </border>
    <border>
      <left style="thin">
        <color indexed="22"/>
      </left>
      <right style="thin">
        <color indexed="64"/>
      </right>
      <top/>
      <bottom/>
      <diagonal/>
    </border>
    <border>
      <left style="thin">
        <color indexed="64"/>
      </left>
      <right style="thin">
        <color indexed="22"/>
      </right>
      <top/>
      <bottom/>
      <diagonal/>
    </border>
    <border>
      <left/>
      <right/>
      <top/>
      <bottom style="medium">
        <color indexed="64"/>
      </bottom>
      <diagonal/>
    </border>
    <border>
      <left/>
      <right style="thin">
        <color indexed="64"/>
      </right>
      <top style="thin">
        <color indexed="64"/>
      </top>
      <bottom/>
      <diagonal/>
    </border>
    <border>
      <left style="thin">
        <color indexed="64"/>
      </left>
      <right style="thin">
        <color indexed="64"/>
      </right>
      <top/>
      <bottom style="thin">
        <color indexed="22"/>
      </bottom>
      <diagonal/>
    </border>
    <border>
      <left style="thin">
        <color indexed="64"/>
      </left>
      <right style="thin">
        <color indexed="22"/>
      </right>
      <top style="thin">
        <color indexed="22"/>
      </top>
      <bottom style="thin">
        <color indexed="22"/>
      </bottom>
      <diagonal/>
    </border>
    <border>
      <left/>
      <right style="thin">
        <color indexed="64"/>
      </right>
      <top/>
      <bottom/>
      <diagonal/>
    </border>
    <border>
      <left style="thin">
        <color indexed="64"/>
      </left>
      <right style="thin">
        <color indexed="22"/>
      </right>
      <top style="thin">
        <color indexed="22"/>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22"/>
      </bottom>
      <diagonal/>
    </border>
    <border>
      <left/>
      <right/>
      <top style="thin">
        <color indexed="64"/>
      </top>
      <bottom style="thin">
        <color indexed="22"/>
      </bottom>
      <diagonal/>
    </border>
    <border>
      <left/>
      <right/>
      <top/>
      <bottom style="thin">
        <color indexed="22"/>
      </bottom>
      <diagonal/>
    </border>
    <border>
      <left/>
      <right style="thin">
        <color indexed="64"/>
      </right>
      <top/>
      <bottom style="thin">
        <color indexed="22"/>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55"/>
      </top>
      <bottom style="thin">
        <color indexed="55"/>
      </bottom>
      <diagonal/>
    </border>
    <border>
      <left style="medium">
        <color indexed="64"/>
      </left>
      <right style="thin">
        <color indexed="64"/>
      </right>
      <top style="thin">
        <color indexed="55"/>
      </top>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medium">
        <color indexed="64"/>
      </right>
      <top style="thin">
        <color indexed="55"/>
      </top>
      <bottom style="thin">
        <color indexed="55"/>
      </bottom>
      <diagonal/>
    </border>
    <border>
      <left style="thin">
        <color indexed="64"/>
      </left>
      <right style="medium">
        <color indexed="64"/>
      </right>
      <top/>
      <bottom style="thin">
        <color indexed="55"/>
      </bottom>
      <diagonal/>
    </border>
    <border>
      <left style="thin">
        <color indexed="64"/>
      </left>
      <right style="medium">
        <color indexed="64"/>
      </right>
      <top style="thin">
        <color indexed="55"/>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55"/>
      </bottom>
      <diagonal/>
    </border>
    <border>
      <left style="medium">
        <color indexed="64"/>
      </left>
      <right style="medium">
        <color indexed="64"/>
      </right>
      <top style="thin">
        <color indexed="55"/>
      </top>
      <bottom style="thin">
        <color indexed="55"/>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thin">
        <color indexed="55"/>
      </top>
      <bottom/>
      <diagonal/>
    </border>
    <border>
      <left/>
      <right style="medium">
        <color indexed="64"/>
      </right>
      <top style="thin">
        <color indexed="55"/>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55"/>
      </bottom>
      <diagonal/>
    </border>
    <border>
      <left style="medium">
        <color indexed="64"/>
      </left>
      <right style="medium">
        <color indexed="64"/>
      </right>
      <top style="thin">
        <color indexed="64"/>
      </top>
      <bottom style="thin">
        <color indexed="55"/>
      </bottom>
      <diagonal/>
    </border>
    <border>
      <left/>
      <right style="medium">
        <color indexed="64"/>
      </right>
      <top style="thin">
        <color indexed="64"/>
      </top>
      <bottom style="thin">
        <color indexed="55"/>
      </bottom>
      <diagonal/>
    </border>
    <border>
      <left/>
      <right style="thin">
        <color indexed="64"/>
      </right>
      <top style="thin">
        <color indexed="55"/>
      </top>
      <bottom style="thin">
        <color indexed="55"/>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55"/>
      </left>
      <right style="thin">
        <color indexed="55"/>
      </right>
      <top style="thin">
        <color indexed="64"/>
      </top>
      <bottom style="thin">
        <color indexed="64"/>
      </bottom>
      <diagonal/>
    </border>
    <border>
      <left style="thin">
        <color indexed="64"/>
      </left>
      <right style="thin">
        <color indexed="55"/>
      </right>
      <top style="thin">
        <color indexed="64"/>
      </top>
      <bottom style="thin">
        <color indexed="64"/>
      </bottom>
      <diagonal/>
    </border>
    <border>
      <left style="thin">
        <color indexed="55"/>
      </left>
      <right style="medium">
        <color indexed="64"/>
      </right>
      <top style="thin">
        <color indexed="64"/>
      </top>
      <bottom style="thin">
        <color indexed="64"/>
      </bottom>
      <diagonal/>
    </border>
    <border>
      <left style="thin">
        <color indexed="55"/>
      </left>
      <right/>
      <top style="thin">
        <color indexed="64"/>
      </top>
      <bottom style="thin">
        <color indexed="64"/>
      </bottom>
      <diagonal/>
    </border>
    <border>
      <left style="medium">
        <color indexed="64"/>
      </left>
      <right/>
      <top style="thin">
        <color indexed="64"/>
      </top>
      <bottom/>
      <diagonal/>
    </border>
    <border>
      <left style="thin">
        <color indexed="55"/>
      </left>
      <right style="thin">
        <color indexed="55"/>
      </right>
      <top style="thin">
        <color indexed="64"/>
      </top>
      <bottom/>
      <diagonal/>
    </border>
    <border>
      <left style="thin">
        <color indexed="64"/>
      </left>
      <right style="thin">
        <color indexed="55"/>
      </right>
      <top style="thin">
        <color indexed="64"/>
      </top>
      <bottom/>
      <diagonal/>
    </border>
    <border>
      <left style="thin">
        <color indexed="55"/>
      </left>
      <right style="thin">
        <color indexed="55"/>
      </right>
      <top style="medium">
        <color indexed="64"/>
      </top>
      <bottom style="medium">
        <color indexed="64"/>
      </bottom>
      <diagonal/>
    </border>
    <border>
      <left style="thin">
        <color indexed="64"/>
      </left>
      <right style="thin">
        <color indexed="55"/>
      </right>
      <top style="medium">
        <color indexed="64"/>
      </top>
      <bottom style="medium">
        <color indexed="64"/>
      </bottom>
      <diagonal/>
    </border>
    <border>
      <left/>
      <right style="thin">
        <color indexed="8"/>
      </right>
      <top style="thin">
        <color indexed="9"/>
      </top>
      <bottom/>
      <diagonal/>
    </border>
    <border>
      <left style="thin">
        <color indexed="8"/>
      </left>
      <right style="thin">
        <color indexed="8"/>
      </right>
      <top style="thin">
        <color indexed="9"/>
      </top>
      <bottom/>
      <diagonal/>
    </border>
    <border>
      <left style="thin">
        <color indexed="8"/>
      </left>
      <right/>
      <top style="thin">
        <color indexed="9"/>
      </top>
      <bottom/>
      <diagonal/>
    </border>
    <border>
      <left/>
      <right/>
      <top/>
      <bottom style="thin">
        <color indexed="9"/>
      </bottom>
      <diagonal/>
    </border>
    <border>
      <left/>
      <right style="thin">
        <color indexed="8"/>
      </right>
      <top/>
      <bottom style="thin">
        <color indexed="9"/>
      </bottom>
      <diagonal/>
    </border>
    <border>
      <left style="thin">
        <color indexed="8"/>
      </left>
      <right style="thin">
        <color indexed="8"/>
      </right>
      <top/>
      <bottom style="thin">
        <color indexed="9"/>
      </bottom>
      <diagonal/>
    </border>
    <border>
      <left style="thin">
        <color indexed="8"/>
      </left>
      <right/>
      <top/>
      <bottom style="thin">
        <color indexed="9"/>
      </bottom>
      <diagonal/>
    </border>
    <border>
      <left/>
      <right/>
      <top style="thin">
        <color indexed="9"/>
      </top>
      <bottom style="thin">
        <color indexed="9"/>
      </bottom>
      <diagonal/>
    </border>
    <border>
      <left/>
      <right style="thin">
        <color indexed="8"/>
      </right>
      <top style="thin">
        <color indexed="9"/>
      </top>
      <bottom style="thin">
        <color indexed="9"/>
      </bottom>
      <diagonal/>
    </border>
    <border>
      <left style="thin">
        <color indexed="64"/>
      </left>
      <right/>
      <top/>
      <bottom style="thin">
        <color indexed="22"/>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right style="thin">
        <color indexed="64"/>
      </right>
      <top style="thin">
        <color indexed="22"/>
      </top>
      <bottom style="thin">
        <color indexed="64"/>
      </bottom>
      <diagonal/>
    </border>
    <border>
      <left/>
      <right/>
      <top style="medium">
        <color indexed="64"/>
      </top>
      <bottom style="medium">
        <color indexed="64"/>
      </bottom>
      <diagonal/>
    </border>
    <border>
      <left/>
      <right/>
      <top style="thin">
        <color indexed="55"/>
      </top>
      <bottom style="thin">
        <color indexed="55"/>
      </bottom>
      <diagonal/>
    </border>
    <border>
      <left/>
      <right/>
      <top style="thin">
        <color indexed="55"/>
      </top>
      <bottom style="thin">
        <color indexed="64"/>
      </bottom>
      <diagonal/>
    </border>
    <border>
      <left/>
      <right/>
      <top style="thin">
        <color indexed="55"/>
      </top>
      <bottom/>
      <diagonal/>
    </border>
    <border>
      <left/>
      <right/>
      <top/>
      <bottom style="thin">
        <color indexed="55"/>
      </bottom>
      <diagonal/>
    </border>
    <border>
      <left style="medium">
        <color indexed="64"/>
      </left>
      <right/>
      <top style="thin">
        <color indexed="64"/>
      </top>
      <bottom style="thin">
        <color indexed="55"/>
      </bottom>
      <diagonal/>
    </border>
    <border>
      <left/>
      <right/>
      <top style="thin">
        <color indexed="64"/>
      </top>
      <bottom style="thin">
        <color indexed="55"/>
      </bottom>
      <diagonal/>
    </border>
    <border>
      <left/>
      <right style="thin">
        <color indexed="64"/>
      </right>
      <top style="thin">
        <color indexed="64"/>
      </top>
      <bottom style="thin">
        <color indexed="55"/>
      </bottom>
      <diagonal/>
    </border>
  </borders>
  <cellStyleXfs count="3">
    <xf numFmtId="0" fontId="0" fillId="0" borderId="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601">
    <xf numFmtId="0" fontId="0" fillId="0" borderId="0" xfId="0"/>
    <xf numFmtId="0" fontId="2" fillId="0" borderId="0" xfId="0" applyFont="1" applyProtection="1">
      <protection hidden="1"/>
    </xf>
    <xf numFmtId="0" fontId="0" fillId="0" borderId="0" xfId="0" applyProtection="1">
      <protection hidden="1"/>
    </xf>
    <xf numFmtId="0" fontId="2" fillId="0" borderId="0" xfId="0" applyNumberFormat="1" applyFont="1" applyProtection="1">
      <protection hidden="1"/>
    </xf>
    <xf numFmtId="0" fontId="3" fillId="0" borderId="0" xfId="0" applyFont="1" applyProtection="1">
      <protection hidden="1"/>
    </xf>
    <xf numFmtId="0" fontId="0" fillId="0" borderId="0" xfId="0" applyFill="1" applyProtection="1">
      <protection hidden="1"/>
    </xf>
    <xf numFmtId="0" fontId="2" fillId="0" borderId="0" xfId="0" applyFont="1" applyBorder="1" applyProtection="1">
      <protection hidden="1"/>
    </xf>
    <xf numFmtId="0" fontId="3" fillId="0" borderId="0" xfId="0" applyFont="1" applyFill="1" applyBorder="1" applyProtection="1">
      <protection hidden="1"/>
    </xf>
    <xf numFmtId="0" fontId="4" fillId="0" borderId="0" xfId="0" applyFont="1" applyFill="1" applyBorder="1" applyProtection="1">
      <protection hidden="1"/>
    </xf>
    <xf numFmtId="10" fontId="3" fillId="0" borderId="0" xfId="0" applyNumberFormat="1" applyFont="1" applyFill="1" applyBorder="1" applyProtection="1">
      <protection hidden="1"/>
    </xf>
    <xf numFmtId="10" fontId="3" fillId="0" borderId="0" xfId="0" applyNumberFormat="1" applyFont="1" applyProtection="1">
      <protection hidden="1"/>
    </xf>
    <xf numFmtId="0" fontId="3" fillId="0" borderId="0" xfId="0" applyFont="1" applyBorder="1" applyProtection="1">
      <protection hidden="1"/>
    </xf>
    <xf numFmtId="0" fontId="5" fillId="0" borderId="2" xfId="0" quotePrefix="1" applyFont="1" applyFill="1" applyBorder="1" applyAlignment="1" applyProtection="1">
      <alignment horizontal="center"/>
      <protection hidden="1"/>
    </xf>
    <xf numFmtId="0" fontId="5" fillId="0" borderId="2" xfId="0" applyFont="1" applyFill="1" applyBorder="1" applyAlignment="1" applyProtection="1">
      <alignment horizontal="center"/>
      <protection hidden="1"/>
    </xf>
    <xf numFmtId="3" fontId="5" fillId="2" borderId="3" xfId="0" applyNumberFormat="1" applyFont="1" applyFill="1" applyBorder="1" applyAlignment="1" applyProtection="1">
      <protection locked="0" hidden="1"/>
    </xf>
    <xf numFmtId="3" fontId="5" fillId="2" borderId="4" xfId="0" applyNumberFormat="1" applyFont="1" applyFill="1" applyBorder="1" applyAlignment="1" applyProtection="1">
      <protection locked="0" hidden="1"/>
    </xf>
    <xf numFmtId="3" fontId="5" fillId="2" borderId="5" xfId="0" applyNumberFormat="1" applyFont="1" applyFill="1" applyBorder="1" applyAlignment="1" applyProtection="1">
      <protection locked="0" hidden="1"/>
    </xf>
    <xf numFmtId="3" fontId="5" fillId="2" borderId="6" xfId="0" applyNumberFormat="1" applyFont="1" applyFill="1" applyBorder="1" applyAlignment="1" applyProtection="1">
      <protection locked="0" hidden="1"/>
    </xf>
    <xf numFmtId="3" fontId="11" fillId="3" borderId="3" xfId="0" applyNumberFormat="1" applyFont="1" applyFill="1" applyBorder="1" applyAlignment="1" applyProtection="1">
      <protection hidden="1"/>
    </xf>
    <xf numFmtId="3" fontId="11" fillId="3" borderId="7" xfId="0" applyNumberFormat="1" applyFont="1" applyFill="1" applyBorder="1" applyAlignment="1" applyProtection="1">
      <protection hidden="1"/>
    </xf>
    <xf numFmtId="3" fontId="11" fillId="3" borderId="8" xfId="0" applyNumberFormat="1" applyFont="1" applyFill="1" applyBorder="1" applyAlignment="1" applyProtection="1">
      <protection hidden="1"/>
    </xf>
    <xf numFmtId="3" fontId="12" fillId="3" borderId="5" xfId="0" applyNumberFormat="1" applyFont="1" applyFill="1" applyBorder="1" applyAlignment="1" applyProtection="1">
      <alignment horizontal="center"/>
      <protection hidden="1"/>
    </xf>
    <xf numFmtId="3" fontId="12" fillId="3" borderId="9" xfId="0" applyNumberFormat="1" applyFont="1" applyFill="1" applyBorder="1" applyAlignment="1" applyProtection="1">
      <alignment horizontal="center"/>
      <protection hidden="1"/>
    </xf>
    <xf numFmtId="3" fontId="12" fillId="3" borderId="10" xfId="0" applyNumberFormat="1" applyFont="1" applyFill="1" applyBorder="1" applyAlignment="1" applyProtection="1">
      <alignment horizontal="center"/>
      <protection hidden="1"/>
    </xf>
    <xf numFmtId="3" fontId="11" fillId="4" borderId="11" xfId="0" applyNumberFormat="1" applyFont="1" applyFill="1" applyBorder="1" applyAlignment="1" applyProtection="1">
      <protection hidden="1"/>
    </xf>
    <xf numFmtId="9" fontId="11" fillId="4" borderId="12" xfId="0" applyNumberFormat="1" applyFont="1" applyFill="1" applyBorder="1" applyAlignment="1" applyProtection="1">
      <protection hidden="1"/>
    </xf>
    <xf numFmtId="0" fontId="5" fillId="0" borderId="13" xfId="0" applyFont="1" applyFill="1" applyBorder="1" applyAlignment="1" applyProtection="1">
      <alignment horizontal="center"/>
      <protection hidden="1"/>
    </xf>
    <xf numFmtId="0" fontId="5" fillId="0" borderId="14" xfId="0" applyFont="1" applyFill="1" applyBorder="1" applyAlignment="1" applyProtection="1">
      <alignment horizontal="center"/>
      <protection hidden="1"/>
    </xf>
    <xf numFmtId="0" fontId="7" fillId="0" borderId="15" xfId="0" applyFont="1" applyFill="1" applyBorder="1" applyAlignment="1" applyProtection="1">
      <alignment horizontal="center"/>
      <protection hidden="1"/>
    </xf>
    <xf numFmtId="0" fontId="5" fillId="0" borderId="16" xfId="0" applyFont="1" applyFill="1" applyBorder="1" applyAlignment="1" applyProtection="1">
      <alignment horizontal="center"/>
      <protection hidden="1"/>
    </xf>
    <xf numFmtId="9" fontId="5" fillId="0" borderId="17" xfId="0" applyNumberFormat="1" applyFont="1" applyFill="1" applyBorder="1" applyAlignment="1" applyProtection="1">
      <alignment horizontal="center"/>
      <protection hidden="1"/>
    </xf>
    <xf numFmtId="0" fontId="5" fillId="0" borderId="13" xfId="0" applyFont="1" applyFill="1" applyBorder="1" applyAlignment="1" applyProtection="1">
      <alignment horizontal="left"/>
      <protection hidden="1"/>
    </xf>
    <xf numFmtId="0" fontId="5" fillId="0" borderId="18" xfId="0" applyFont="1" applyFill="1" applyBorder="1" applyAlignment="1" applyProtection="1">
      <alignment horizontal="left"/>
      <protection hidden="1"/>
    </xf>
    <xf numFmtId="0" fontId="5" fillId="0" borderId="10" xfId="0" applyFont="1" applyFill="1" applyBorder="1" applyAlignment="1" applyProtection="1">
      <alignment horizontal="left"/>
      <protection hidden="1"/>
    </xf>
    <xf numFmtId="0" fontId="5" fillId="0" borderId="19" xfId="0" quotePrefix="1" applyFont="1" applyFill="1" applyBorder="1" applyAlignment="1" applyProtection="1">
      <alignment horizontal="center"/>
      <protection hidden="1"/>
    </xf>
    <xf numFmtId="3" fontId="11" fillId="3" borderId="20" xfId="0" applyNumberFormat="1" applyFont="1" applyFill="1" applyBorder="1" applyAlignment="1" applyProtection="1">
      <protection hidden="1"/>
    </xf>
    <xf numFmtId="3" fontId="11" fillId="3" borderId="21" xfId="0" applyNumberFormat="1" applyFont="1" applyFill="1" applyBorder="1" applyAlignment="1" applyProtection="1">
      <protection hidden="1"/>
    </xf>
    <xf numFmtId="3" fontId="12" fillId="3" borderId="22" xfId="0" applyNumberFormat="1" applyFont="1" applyFill="1" applyBorder="1" applyAlignment="1" applyProtection="1">
      <alignment horizontal="center"/>
      <protection hidden="1"/>
    </xf>
    <xf numFmtId="3" fontId="11" fillId="4" borderId="23" xfId="0" applyNumberFormat="1" applyFont="1" applyFill="1" applyBorder="1" applyAlignment="1" applyProtection="1">
      <protection hidden="1"/>
    </xf>
    <xf numFmtId="9" fontId="11" fillId="4" borderId="24" xfId="0" applyNumberFormat="1" applyFont="1" applyFill="1" applyBorder="1" applyAlignment="1" applyProtection="1">
      <protection hidden="1"/>
    </xf>
    <xf numFmtId="3" fontId="5" fillId="2" borderId="20" xfId="0" applyNumberFormat="1" applyFont="1" applyFill="1" applyBorder="1" applyAlignment="1" applyProtection="1">
      <protection locked="0" hidden="1"/>
    </xf>
    <xf numFmtId="3" fontId="5" fillId="2" borderId="25" xfId="0" applyNumberFormat="1" applyFont="1" applyFill="1" applyBorder="1" applyAlignment="1" applyProtection="1">
      <protection locked="0" hidden="1"/>
    </xf>
    <xf numFmtId="3" fontId="5" fillId="2" borderId="22" xfId="0" applyNumberFormat="1" applyFont="1" applyFill="1" applyBorder="1" applyAlignment="1" applyProtection="1">
      <protection locked="0" hidden="1"/>
    </xf>
    <xf numFmtId="3" fontId="8" fillId="5" borderId="26" xfId="0" applyNumberFormat="1" applyFont="1" applyFill="1" applyBorder="1" applyAlignment="1" applyProtection="1">
      <alignment horizontal="center"/>
      <protection hidden="1"/>
    </xf>
    <xf numFmtId="0" fontId="5" fillId="0" borderId="27" xfId="0" applyFont="1" applyFill="1" applyBorder="1" applyAlignment="1" applyProtection="1">
      <alignment horizontal="center"/>
      <protection hidden="1"/>
    </xf>
    <xf numFmtId="3" fontId="11" fillId="3" borderId="28" xfId="0" applyNumberFormat="1" applyFont="1" applyFill="1" applyBorder="1" applyAlignment="1" applyProtection="1">
      <protection hidden="1"/>
    </xf>
    <xf numFmtId="3" fontId="11" fillId="3" borderId="14" xfId="0" applyNumberFormat="1" applyFont="1" applyFill="1" applyBorder="1" applyAlignment="1" applyProtection="1">
      <protection hidden="1"/>
    </xf>
    <xf numFmtId="3" fontId="12" fillId="3" borderId="15" xfId="0" applyNumberFormat="1" applyFont="1" applyFill="1" applyBorder="1" applyAlignment="1" applyProtection="1">
      <alignment horizontal="center"/>
      <protection hidden="1"/>
    </xf>
    <xf numFmtId="3" fontId="11" fillId="4" borderId="16" xfId="0" applyNumberFormat="1" applyFont="1" applyFill="1" applyBorder="1" applyAlignment="1" applyProtection="1">
      <protection hidden="1"/>
    </xf>
    <xf numFmtId="9" fontId="11" fillId="4" borderId="17" xfId="0" applyNumberFormat="1" applyFont="1" applyFill="1" applyBorder="1" applyAlignment="1" applyProtection="1">
      <protection hidden="1"/>
    </xf>
    <xf numFmtId="3" fontId="5" fillId="2" borderId="28" xfId="0" applyNumberFormat="1" applyFont="1" applyFill="1" applyBorder="1" applyAlignment="1" applyProtection="1">
      <protection locked="0" hidden="1"/>
    </xf>
    <xf numFmtId="3" fontId="5" fillId="2" borderId="29" xfId="0" applyNumberFormat="1" applyFont="1" applyFill="1" applyBorder="1" applyAlignment="1" applyProtection="1">
      <protection locked="0" hidden="1"/>
    </xf>
    <xf numFmtId="3" fontId="5" fillId="2" borderId="15" xfId="0" applyNumberFormat="1" applyFont="1" applyFill="1" applyBorder="1" applyAlignment="1" applyProtection="1">
      <protection locked="0" hidden="1"/>
    </xf>
    <xf numFmtId="3" fontId="11" fillId="3" borderId="13" xfId="0" applyNumberFormat="1" applyFont="1" applyFill="1" applyBorder="1" applyAlignment="1" applyProtection="1">
      <protection hidden="1"/>
    </xf>
    <xf numFmtId="3" fontId="11" fillId="4" borderId="30" xfId="0" applyNumberFormat="1" applyFont="1" applyFill="1" applyBorder="1" applyAlignment="1" applyProtection="1">
      <protection hidden="1"/>
    </xf>
    <xf numFmtId="9" fontId="11" fillId="4" borderId="31" xfId="0" applyNumberFormat="1" applyFont="1" applyFill="1" applyBorder="1" applyAlignment="1" applyProtection="1">
      <protection hidden="1"/>
    </xf>
    <xf numFmtId="3" fontId="5" fillId="2" borderId="13" xfId="0" applyNumberFormat="1" applyFont="1" applyFill="1" applyBorder="1" applyAlignment="1" applyProtection="1">
      <protection locked="0" hidden="1"/>
    </xf>
    <xf numFmtId="3" fontId="5" fillId="2" borderId="10" xfId="0" applyNumberFormat="1" applyFont="1" applyFill="1" applyBorder="1" applyAlignment="1" applyProtection="1">
      <protection locked="0" hidden="1"/>
    </xf>
    <xf numFmtId="3" fontId="5" fillId="2" borderId="32" xfId="0" applyNumberFormat="1" applyFont="1" applyFill="1" applyBorder="1" applyAlignment="1" applyProtection="1">
      <protection locked="0" hidden="1"/>
    </xf>
    <xf numFmtId="3" fontId="12" fillId="3" borderId="26" xfId="0" applyNumberFormat="1" applyFont="1" applyFill="1" applyBorder="1" applyAlignment="1" applyProtection="1">
      <alignment horizontal="center"/>
      <protection hidden="1"/>
    </xf>
    <xf numFmtId="0" fontId="5" fillId="0" borderId="27" xfId="0" quotePrefix="1" applyFont="1" applyFill="1" applyBorder="1" applyAlignment="1" applyProtection="1">
      <alignment horizontal="center"/>
      <protection hidden="1"/>
    </xf>
    <xf numFmtId="3" fontId="9" fillId="5" borderId="33" xfId="0" applyNumberFormat="1" applyFont="1" applyFill="1" applyBorder="1" applyAlignment="1" applyProtection="1">
      <alignment horizontal="center"/>
      <protection hidden="1"/>
    </xf>
    <xf numFmtId="0" fontId="5" fillId="0" borderId="34" xfId="0" applyFont="1" applyFill="1" applyBorder="1" applyAlignment="1" applyProtection="1">
      <alignment horizontal="center"/>
      <protection hidden="1"/>
    </xf>
    <xf numFmtId="3" fontId="11" fillId="3" borderId="35" xfId="0" applyNumberFormat="1" applyFont="1" applyFill="1" applyBorder="1" applyAlignment="1" applyProtection="1">
      <protection hidden="1"/>
    </xf>
    <xf numFmtId="3" fontId="11" fillId="3" borderId="36" xfId="0" applyNumberFormat="1" applyFont="1" applyFill="1" applyBorder="1" applyAlignment="1" applyProtection="1">
      <protection hidden="1"/>
    </xf>
    <xf numFmtId="3" fontId="12" fillId="3" borderId="37" xfId="0" applyNumberFormat="1" applyFont="1" applyFill="1" applyBorder="1" applyAlignment="1" applyProtection="1">
      <alignment horizontal="center"/>
      <protection hidden="1"/>
    </xf>
    <xf numFmtId="3" fontId="11" fillId="4" borderId="38" xfId="0" applyNumberFormat="1" applyFont="1" applyFill="1" applyBorder="1" applyAlignment="1" applyProtection="1">
      <protection hidden="1"/>
    </xf>
    <xf numFmtId="9" fontId="11" fillId="4" borderId="39" xfId="0" applyNumberFormat="1" applyFont="1" applyFill="1" applyBorder="1" applyAlignment="1" applyProtection="1">
      <protection hidden="1"/>
    </xf>
    <xf numFmtId="0" fontId="5" fillId="0" borderId="0" xfId="0" applyFont="1" applyFill="1" applyBorder="1" applyAlignment="1" applyProtection="1">
      <protection hidden="1"/>
    </xf>
    <xf numFmtId="0" fontId="13" fillId="0" borderId="0" xfId="0" applyFont="1" applyProtection="1">
      <protection hidden="1"/>
    </xf>
    <xf numFmtId="0" fontId="15" fillId="0" borderId="0" xfId="0" applyFont="1" applyProtection="1">
      <protection hidden="1"/>
    </xf>
    <xf numFmtId="0" fontId="15" fillId="0" borderId="0" xfId="0" applyFont="1" applyFill="1" applyBorder="1" applyProtection="1">
      <protection hidden="1"/>
    </xf>
    <xf numFmtId="0" fontId="15" fillId="0" borderId="0" xfId="0" applyFont="1" applyFill="1" applyProtection="1">
      <protection hidden="1"/>
    </xf>
    <xf numFmtId="0" fontId="17" fillId="0" borderId="0" xfId="0" applyFont="1" applyFill="1" applyBorder="1" applyProtection="1">
      <protection hidden="1"/>
    </xf>
    <xf numFmtId="0" fontId="18" fillId="6" borderId="40" xfId="0" applyFont="1" applyFill="1" applyBorder="1" applyAlignment="1" applyProtection="1">
      <protection hidden="1"/>
    </xf>
    <xf numFmtId="0" fontId="19" fillId="0" borderId="0" xfId="0" applyFont="1" applyProtection="1">
      <protection hidden="1"/>
    </xf>
    <xf numFmtId="0" fontId="20" fillId="5" borderId="0" xfId="0" applyFont="1" applyFill="1" applyBorder="1" applyProtection="1">
      <protection hidden="1"/>
    </xf>
    <xf numFmtId="0" fontId="15" fillId="0" borderId="0" xfId="0" applyFont="1" applyBorder="1" applyProtection="1">
      <protection hidden="1"/>
    </xf>
    <xf numFmtId="0" fontId="19" fillId="0" borderId="0" xfId="0" applyFont="1" applyBorder="1" applyProtection="1">
      <protection hidden="1"/>
    </xf>
    <xf numFmtId="0" fontId="15" fillId="0" borderId="0" xfId="0" applyFont="1" applyBorder="1" applyAlignment="1" applyProtection="1">
      <alignment vertical="center"/>
      <protection hidden="1"/>
    </xf>
    <xf numFmtId="0" fontId="20" fillId="5" borderId="0" xfId="1" applyFont="1" applyFill="1" applyBorder="1" applyAlignment="1" applyProtection="1">
      <alignment horizontal="center" vertical="center" wrapText="1"/>
      <protection hidden="1"/>
    </xf>
    <xf numFmtId="0" fontId="19" fillId="0" borderId="0" xfId="0" applyFont="1" applyBorder="1" applyAlignment="1" applyProtection="1">
      <alignment wrapText="1"/>
      <protection hidden="1"/>
    </xf>
    <xf numFmtId="0" fontId="15" fillId="0" borderId="41" xfId="0" applyFont="1" applyBorder="1" applyAlignment="1" applyProtection="1">
      <alignment vertical="center"/>
      <protection hidden="1"/>
    </xf>
    <xf numFmtId="0" fontId="19" fillId="0" borderId="41" xfId="0" applyFont="1" applyBorder="1" applyProtection="1">
      <protection hidden="1"/>
    </xf>
    <xf numFmtId="0" fontId="15" fillId="0" borderId="41" xfId="0" applyFont="1" applyBorder="1" applyProtection="1">
      <protection hidden="1"/>
    </xf>
    <xf numFmtId="0" fontId="15" fillId="0" borderId="42" xfId="0" applyFont="1" applyBorder="1" applyAlignment="1" applyProtection="1">
      <alignment vertical="center"/>
      <protection hidden="1"/>
    </xf>
    <xf numFmtId="0" fontId="19" fillId="0" borderId="42" xfId="0" applyFont="1" applyBorder="1" applyProtection="1">
      <protection hidden="1"/>
    </xf>
    <xf numFmtId="0" fontId="15" fillId="0" borderId="42" xfId="0" applyFont="1" applyBorder="1" applyProtection="1">
      <protection hidden="1"/>
    </xf>
    <xf numFmtId="0" fontId="20" fillId="7" borderId="0" xfId="1" applyFont="1" applyFill="1" applyBorder="1" applyAlignment="1" applyProtection="1">
      <alignment horizontal="center" vertical="center"/>
      <protection hidden="1"/>
    </xf>
    <xf numFmtId="0" fontId="20" fillId="7" borderId="0" xfId="1" applyFont="1" applyFill="1" applyBorder="1" applyAlignment="1" applyProtection="1">
      <alignment horizontal="center" vertical="center" wrapText="1"/>
      <protection hidden="1"/>
    </xf>
    <xf numFmtId="0" fontId="15" fillId="0" borderId="0" xfId="0" applyFont="1" applyFill="1" applyBorder="1" applyAlignment="1" applyProtection="1">
      <alignment vertical="center"/>
      <protection hidden="1"/>
    </xf>
    <xf numFmtId="0" fontId="19" fillId="0" borderId="0" xfId="0" applyFont="1" applyFill="1" applyBorder="1" applyAlignment="1" applyProtection="1">
      <alignment horizontal="center" vertical="center" wrapText="1"/>
      <protection hidden="1"/>
    </xf>
    <xf numFmtId="0" fontId="19" fillId="8" borderId="0" xfId="1" applyFont="1" applyFill="1" applyBorder="1" applyAlignment="1" applyProtection="1">
      <alignment horizontal="center" vertical="center"/>
      <protection hidden="1"/>
    </xf>
    <xf numFmtId="0" fontId="26" fillId="0" borderId="0" xfId="0" applyFont="1" applyFill="1" applyAlignment="1" applyProtection="1">
      <alignment horizontal="center"/>
      <protection hidden="1"/>
    </xf>
    <xf numFmtId="0" fontId="19" fillId="0" borderId="0" xfId="0" applyFont="1" applyFill="1" applyAlignment="1" applyProtection="1">
      <alignment horizontal="center" vertical="center"/>
      <protection hidden="1"/>
    </xf>
    <xf numFmtId="0" fontId="14" fillId="5" borderId="0" xfId="0" applyFont="1" applyFill="1" applyAlignment="1" applyProtection="1">
      <alignment horizontal="left" vertical="center"/>
      <protection hidden="1"/>
    </xf>
    <xf numFmtId="0" fontId="27" fillId="5" borderId="0" xfId="0" applyFont="1" applyFill="1" applyAlignment="1" applyProtection="1">
      <alignment horizontal="left" vertical="center"/>
      <protection hidden="1"/>
    </xf>
    <xf numFmtId="0" fontId="27" fillId="0" borderId="0" xfId="0" applyFont="1" applyFill="1" applyAlignment="1" applyProtection="1">
      <alignment horizontal="left" vertical="center"/>
      <protection hidden="1"/>
    </xf>
    <xf numFmtId="0" fontId="28" fillId="0" borderId="0" xfId="0" applyFont="1" applyFill="1" applyAlignment="1" applyProtection="1">
      <alignment horizontal="center" vertical="center"/>
      <protection hidden="1"/>
    </xf>
    <xf numFmtId="0" fontId="19" fillId="0" borderId="0" xfId="0" applyFont="1" applyFill="1" applyProtection="1">
      <protection hidden="1"/>
    </xf>
    <xf numFmtId="0" fontId="19" fillId="0" borderId="0" xfId="1" applyFont="1" applyFill="1" applyAlignment="1" applyProtection="1">
      <alignment horizontal="center" vertical="top"/>
      <protection hidden="1"/>
    </xf>
    <xf numFmtId="0" fontId="29" fillId="0" borderId="0" xfId="0" applyFont="1" applyFill="1" applyBorder="1" applyAlignment="1" applyProtection="1">
      <alignment horizontal="left" vertical="center"/>
      <protection hidden="1"/>
    </xf>
    <xf numFmtId="0" fontId="30" fillId="5" borderId="43" xfId="0" applyFont="1" applyFill="1" applyBorder="1" applyAlignment="1" applyProtection="1">
      <protection hidden="1"/>
    </xf>
    <xf numFmtId="49" fontId="31" fillId="5" borderId="44" xfId="0" applyNumberFormat="1" applyFont="1" applyFill="1" applyBorder="1" applyAlignment="1" applyProtection="1">
      <alignment horizontal="right"/>
      <protection hidden="1"/>
    </xf>
    <xf numFmtId="0" fontId="5" fillId="5" borderId="44" xfId="0" applyFont="1" applyFill="1" applyBorder="1" applyAlignment="1" applyProtection="1">
      <protection hidden="1"/>
    </xf>
    <xf numFmtId="49" fontId="31" fillId="5" borderId="0" xfId="0" applyNumberFormat="1" applyFont="1" applyFill="1" applyBorder="1" applyAlignment="1" applyProtection="1">
      <alignment horizontal="left"/>
      <protection hidden="1"/>
    </xf>
    <xf numFmtId="0" fontId="30" fillId="5" borderId="0" xfId="0" applyFont="1" applyFill="1" applyBorder="1" applyAlignment="1" applyProtection="1">
      <alignment horizontal="center"/>
      <protection hidden="1"/>
    </xf>
    <xf numFmtId="0" fontId="31" fillId="5" borderId="45" xfId="0" applyFont="1" applyFill="1" applyBorder="1" applyAlignment="1" applyProtection="1">
      <protection hidden="1"/>
    </xf>
    <xf numFmtId="14" fontId="5" fillId="0" borderId="45" xfId="0" applyNumberFormat="1" applyFont="1" applyBorder="1" applyAlignment="1" applyProtection="1">
      <alignment horizontal="right"/>
      <protection hidden="1"/>
    </xf>
    <xf numFmtId="14" fontId="32" fillId="0" borderId="45" xfId="0" applyNumberFormat="1" applyFont="1" applyBorder="1" applyAlignment="1" applyProtection="1">
      <alignment horizontal="right"/>
      <protection hidden="1"/>
    </xf>
    <xf numFmtId="14" fontId="32" fillId="0" borderId="0" xfId="0" applyNumberFormat="1" applyFont="1" applyFill="1" applyBorder="1" applyAlignment="1" applyProtection="1">
      <alignment horizontal="right"/>
      <protection hidden="1"/>
    </xf>
    <xf numFmtId="0" fontId="5" fillId="0" borderId="0" xfId="0" applyFont="1" applyBorder="1" applyProtection="1">
      <protection hidden="1"/>
    </xf>
    <xf numFmtId="0" fontId="5" fillId="0" borderId="0" xfId="0" applyFont="1" applyProtection="1">
      <protection hidden="1"/>
    </xf>
    <xf numFmtId="0" fontId="5" fillId="0" borderId="46" xfId="0" applyFont="1" applyBorder="1" applyAlignment="1" applyProtection="1">
      <protection hidden="1"/>
    </xf>
    <xf numFmtId="3" fontId="5" fillId="2" borderId="46" xfId="0" applyNumberFormat="1" applyFont="1" applyFill="1" applyBorder="1" applyAlignment="1" applyProtection="1">
      <protection locked="0"/>
    </xf>
    <xf numFmtId="164" fontId="32" fillId="0" borderId="0" xfId="2" applyNumberFormat="1" applyFont="1" applyFill="1" applyBorder="1" applyAlignment="1" applyProtection="1">
      <protection hidden="1"/>
    </xf>
    <xf numFmtId="0" fontId="5" fillId="0" borderId="0" xfId="0" applyFont="1" applyBorder="1" applyAlignment="1" applyProtection="1">
      <protection hidden="1"/>
    </xf>
    <xf numFmtId="3" fontId="5" fillId="2" borderId="1" xfId="0" applyNumberFormat="1" applyFont="1" applyFill="1" applyBorder="1" applyAlignment="1" applyProtection="1">
      <protection locked="0"/>
    </xf>
    <xf numFmtId="0" fontId="5" fillId="2" borderId="0" xfId="0" applyFont="1" applyFill="1" applyBorder="1" applyProtection="1">
      <protection hidden="1"/>
    </xf>
    <xf numFmtId="0" fontId="5" fillId="0" borderId="47" xfId="0" applyFont="1" applyBorder="1" applyAlignment="1" applyProtection="1">
      <protection hidden="1"/>
    </xf>
    <xf numFmtId="3" fontId="5" fillId="2" borderId="47" xfId="0" applyNumberFormat="1" applyFont="1" applyFill="1" applyBorder="1" applyAlignment="1" applyProtection="1">
      <protection locked="0"/>
    </xf>
    <xf numFmtId="3" fontId="5" fillId="2" borderId="48" xfId="0" applyNumberFormat="1" applyFont="1" applyFill="1" applyBorder="1" applyAlignment="1" applyProtection="1">
      <protection locked="0"/>
    </xf>
    <xf numFmtId="9" fontId="5" fillId="2" borderId="1" xfId="0" applyNumberFormat="1" applyFont="1" applyFill="1" applyBorder="1" applyAlignment="1" applyProtection="1">
      <protection locked="0"/>
    </xf>
    <xf numFmtId="9" fontId="31" fillId="0" borderId="0" xfId="0" applyNumberFormat="1" applyFont="1" applyBorder="1" applyProtection="1">
      <protection hidden="1"/>
    </xf>
    <xf numFmtId="0" fontId="31" fillId="0" borderId="0" xfId="0" applyFont="1" applyBorder="1" applyProtection="1">
      <protection hidden="1"/>
    </xf>
    <xf numFmtId="0" fontId="5" fillId="0" borderId="49" xfId="0" applyFont="1" applyBorder="1" applyAlignment="1" applyProtection="1">
      <protection hidden="1"/>
    </xf>
    <xf numFmtId="3" fontId="5" fillId="2" borderId="49" xfId="0" applyNumberFormat="1" applyFont="1" applyFill="1" applyBorder="1" applyAlignment="1" applyProtection="1">
      <protection locked="0"/>
    </xf>
    <xf numFmtId="0" fontId="7" fillId="4" borderId="45" xfId="0" applyFont="1" applyFill="1" applyBorder="1" applyAlignment="1" applyProtection="1">
      <protection hidden="1"/>
    </xf>
    <xf numFmtId="3" fontId="33" fillId="4" borderId="45" xfId="0" applyNumberFormat="1" applyFont="1" applyFill="1" applyBorder="1" applyAlignment="1" applyProtection="1">
      <protection hidden="1"/>
    </xf>
    <xf numFmtId="164" fontId="33" fillId="4" borderId="45" xfId="2" applyNumberFormat="1" applyFont="1" applyFill="1" applyBorder="1" applyAlignment="1" applyProtection="1">
      <protection hidden="1"/>
    </xf>
    <xf numFmtId="164" fontId="33" fillId="0" borderId="0" xfId="2" applyNumberFormat="1" applyFont="1" applyFill="1" applyBorder="1" applyAlignment="1" applyProtection="1">
      <protection hidden="1"/>
    </xf>
    <xf numFmtId="0" fontId="31" fillId="5" borderId="27" xfId="0" applyFont="1" applyFill="1" applyBorder="1" applyAlignment="1" applyProtection="1">
      <protection hidden="1"/>
    </xf>
    <xf numFmtId="0" fontId="5" fillId="5" borderId="0" xfId="0" applyFont="1" applyFill="1" applyBorder="1" applyAlignment="1" applyProtection="1">
      <protection hidden="1"/>
    </xf>
    <xf numFmtId="0" fontId="5" fillId="0" borderId="50" xfId="0" applyFont="1" applyBorder="1" applyAlignment="1" applyProtection="1">
      <protection hidden="1"/>
    </xf>
    <xf numFmtId="3" fontId="5" fillId="2" borderId="51" xfId="0" applyNumberFormat="1" applyFont="1" applyFill="1" applyBorder="1" applyAlignment="1" applyProtection="1">
      <protection locked="0"/>
    </xf>
    <xf numFmtId="0" fontId="5" fillId="0" borderId="2" xfId="0" applyFont="1" applyBorder="1" applyAlignment="1" applyProtection="1">
      <protection hidden="1"/>
    </xf>
    <xf numFmtId="0" fontId="5" fillId="0" borderId="52" xfId="0" applyFont="1" applyBorder="1" applyAlignment="1" applyProtection="1">
      <protection hidden="1"/>
    </xf>
    <xf numFmtId="0" fontId="7" fillId="4" borderId="43" xfId="0" applyFont="1" applyFill="1" applyBorder="1" applyAlignment="1" applyProtection="1">
      <protection hidden="1"/>
    </xf>
    <xf numFmtId="164" fontId="33" fillId="4" borderId="53" xfId="2" applyNumberFormat="1" applyFont="1" applyFill="1" applyBorder="1" applyAlignment="1" applyProtection="1">
      <protection hidden="1"/>
    </xf>
    <xf numFmtId="0" fontId="19" fillId="3" borderId="43" xfId="0" applyFont="1" applyFill="1" applyBorder="1" applyAlignment="1" applyProtection="1">
      <protection hidden="1"/>
    </xf>
    <xf numFmtId="3" fontId="34" fillId="3" borderId="45" xfId="0" applyNumberFormat="1" applyFont="1" applyFill="1" applyBorder="1" applyAlignment="1" applyProtection="1">
      <protection hidden="1"/>
    </xf>
    <xf numFmtId="164" fontId="34" fillId="3" borderId="53" xfId="0" applyNumberFormat="1" applyFont="1" applyFill="1" applyBorder="1" applyAlignment="1" applyProtection="1">
      <protection hidden="1"/>
    </xf>
    <xf numFmtId="164" fontId="34" fillId="0" borderId="0" xfId="0" applyNumberFormat="1" applyFont="1" applyFill="1" applyBorder="1" applyAlignment="1" applyProtection="1">
      <protection hidden="1"/>
    </xf>
    <xf numFmtId="0" fontId="5" fillId="0" borderId="27" xfId="0" applyFont="1" applyBorder="1" applyAlignment="1" applyProtection="1">
      <protection hidden="1"/>
    </xf>
    <xf numFmtId="164" fontId="5" fillId="0" borderId="0" xfId="0" applyNumberFormat="1" applyFont="1" applyFill="1" applyBorder="1" applyAlignment="1" applyProtection="1">
      <protection hidden="1"/>
    </xf>
    <xf numFmtId="0" fontId="31" fillId="5" borderId="54" xfId="0" applyFont="1" applyFill="1" applyBorder="1" applyAlignment="1" applyProtection="1">
      <protection hidden="1"/>
    </xf>
    <xf numFmtId="0" fontId="5" fillId="5" borderId="41" xfId="0" applyFont="1" applyFill="1" applyBorder="1" applyAlignment="1" applyProtection="1">
      <protection hidden="1"/>
    </xf>
    <xf numFmtId="0" fontId="5" fillId="0" borderId="34" xfId="0" applyFont="1" applyBorder="1" applyAlignment="1" applyProtection="1">
      <protection hidden="1"/>
    </xf>
    <xf numFmtId="3" fontId="5" fillId="2" borderId="55" xfId="0" applyNumberFormat="1" applyFont="1" applyFill="1" applyBorder="1" applyAlignment="1" applyProtection="1">
      <protection locked="0"/>
    </xf>
    <xf numFmtId="0" fontId="5" fillId="0" borderId="0" xfId="0" applyFont="1" applyBorder="1" applyAlignment="1" applyProtection="1">
      <alignment horizontal="left" vertical="center" wrapText="1"/>
      <protection hidden="1"/>
    </xf>
    <xf numFmtId="3" fontId="5" fillId="2" borderId="1" xfId="0" applyNumberFormat="1" applyFont="1" applyFill="1" applyBorder="1" applyProtection="1">
      <protection locked="0"/>
    </xf>
    <xf numFmtId="3" fontId="5" fillId="2" borderId="48" xfId="0" applyNumberFormat="1" applyFont="1" applyFill="1" applyBorder="1" applyProtection="1">
      <protection locked="0"/>
    </xf>
    <xf numFmtId="0" fontId="7" fillId="4" borderId="54" xfId="0" applyFont="1" applyFill="1" applyBorder="1" applyAlignment="1" applyProtection="1">
      <protection hidden="1"/>
    </xf>
    <xf numFmtId="3" fontId="33" fillId="4" borderId="56" xfId="0" applyNumberFormat="1" applyFont="1" applyFill="1" applyBorder="1" applyAlignment="1" applyProtection="1">
      <protection hidden="1"/>
    </xf>
    <xf numFmtId="164" fontId="33" fillId="4" borderId="57" xfId="2" applyNumberFormat="1" applyFont="1" applyFill="1" applyBorder="1" applyAlignment="1" applyProtection="1">
      <protection hidden="1"/>
    </xf>
    <xf numFmtId="0" fontId="15" fillId="0" borderId="0" xfId="0" applyFont="1" applyBorder="1" applyAlignment="1"/>
    <xf numFmtId="0" fontId="5" fillId="0" borderId="51" xfId="0" applyFont="1" applyBorder="1" applyAlignment="1" applyProtection="1">
      <protection hidden="1"/>
    </xf>
    <xf numFmtId="0" fontId="19" fillId="3" borderId="56" xfId="0" applyFont="1" applyFill="1" applyBorder="1" applyAlignment="1" applyProtection="1">
      <protection hidden="1"/>
    </xf>
    <xf numFmtId="3" fontId="34" fillId="3" borderId="56" xfId="0" applyNumberFormat="1" applyFont="1" applyFill="1" applyBorder="1" applyAlignment="1" applyProtection="1">
      <protection hidden="1"/>
    </xf>
    <xf numFmtId="164" fontId="34" fillId="3" borderId="56" xfId="2" applyNumberFormat="1" applyFont="1" applyFill="1" applyBorder="1" applyAlignment="1" applyProtection="1">
      <protection hidden="1"/>
    </xf>
    <xf numFmtId="164" fontId="34" fillId="0" borderId="0" xfId="2" applyNumberFormat="1" applyFont="1" applyFill="1" applyBorder="1" applyAlignment="1" applyProtection="1">
      <protection hidden="1"/>
    </xf>
    <xf numFmtId="0" fontId="35" fillId="0" borderId="0" xfId="0" applyFont="1" applyFill="1" applyBorder="1" applyAlignment="1" applyProtection="1">
      <alignment horizontal="center"/>
      <protection hidden="1"/>
    </xf>
    <xf numFmtId="14" fontId="35" fillId="0" borderId="0" xfId="0" applyNumberFormat="1" applyFont="1" applyFill="1" applyBorder="1" applyAlignment="1" applyProtection="1">
      <alignment horizontal="center"/>
      <protection hidden="1"/>
    </xf>
    <xf numFmtId="0" fontId="36" fillId="0" borderId="0" xfId="0" applyFont="1" applyAlignment="1" applyProtection="1">
      <alignment horizontal="center"/>
      <protection hidden="1"/>
    </xf>
    <xf numFmtId="164" fontId="35" fillId="0" borderId="0" xfId="2" applyNumberFormat="1" applyFont="1" applyFill="1" applyBorder="1" applyAlignment="1" applyProtection="1">
      <alignment horizontal="center"/>
      <protection hidden="1"/>
    </xf>
    <xf numFmtId="164" fontId="36" fillId="0" borderId="0" xfId="0" applyNumberFormat="1" applyFont="1" applyFill="1" applyBorder="1" applyAlignment="1" applyProtection="1">
      <alignment horizontal="center"/>
      <protection hidden="1"/>
    </xf>
    <xf numFmtId="164" fontId="35" fillId="0" borderId="0" xfId="0" applyNumberFormat="1" applyFont="1" applyFill="1" applyBorder="1" applyAlignment="1" applyProtection="1">
      <alignment horizontal="center"/>
      <protection hidden="1"/>
    </xf>
    <xf numFmtId="164" fontId="36" fillId="0" borderId="0" xfId="2" applyNumberFormat="1" applyFont="1" applyFill="1" applyBorder="1" applyAlignment="1" applyProtection="1">
      <alignment horizontal="center"/>
      <protection hidden="1"/>
    </xf>
    <xf numFmtId="3" fontId="15" fillId="0" borderId="0" xfId="0" applyNumberFormat="1" applyFont="1" applyProtection="1">
      <protection hidden="1"/>
    </xf>
    <xf numFmtId="164" fontId="15" fillId="0" borderId="0" xfId="0" applyNumberFormat="1" applyFont="1" applyProtection="1">
      <protection hidden="1"/>
    </xf>
    <xf numFmtId="3" fontId="37" fillId="0" borderId="0" xfId="0" applyNumberFormat="1" applyFont="1" applyProtection="1">
      <protection hidden="1"/>
    </xf>
    <xf numFmtId="1" fontId="37" fillId="0" borderId="0" xfId="0" applyNumberFormat="1" applyFont="1" applyProtection="1">
      <protection hidden="1"/>
    </xf>
    <xf numFmtId="0" fontId="26" fillId="0" borderId="0" xfId="0" applyFont="1" applyFill="1" applyAlignment="1" applyProtection="1">
      <alignment horizontal="center" vertical="center"/>
      <protection hidden="1"/>
    </xf>
    <xf numFmtId="0" fontId="27" fillId="0" borderId="0" xfId="0" applyFont="1" applyFill="1" applyAlignment="1" applyProtection="1">
      <alignment vertical="center"/>
      <protection hidden="1"/>
    </xf>
    <xf numFmtId="0" fontId="26" fillId="0" borderId="0" xfId="1" applyFont="1" applyFill="1" applyAlignment="1" applyProtection="1">
      <alignment horizontal="center" vertical="top"/>
      <protection hidden="1"/>
    </xf>
    <xf numFmtId="0" fontId="26" fillId="0" borderId="0" xfId="0" applyFont="1" applyFill="1" applyProtection="1">
      <protection hidden="1"/>
    </xf>
    <xf numFmtId="0" fontId="16" fillId="0" borderId="0" xfId="0" applyFont="1" applyFill="1" applyAlignment="1" applyProtection="1">
      <alignment vertical="center"/>
      <protection hidden="1"/>
    </xf>
    <xf numFmtId="0" fontId="32" fillId="9" borderId="0" xfId="0" applyNumberFormat="1" applyFont="1" applyFill="1" applyBorder="1" applyAlignment="1" applyProtection="1">
      <alignment horizontal="center"/>
      <protection locked="0"/>
    </xf>
    <xf numFmtId="0" fontId="17" fillId="0" borderId="0" xfId="0" applyFont="1" applyFill="1" applyAlignment="1" applyProtection="1">
      <alignment horizontal="justify" vertical="center"/>
      <protection hidden="1"/>
    </xf>
    <xf numFmtId="3" fontId="15" fillId="0" borderId="0" xfId="0" applyNumberFormat="1" applyFont="1" applyFill="1" applyProtection="1">
      <protection hidden="1"/>
    </xf>
    <xf numFmtId="164" fontId="15" fillId="0" borderId="0" xfId="0" applyNumberFormat="1" applyFont="1" applyFill="1" applyProtection="1">
      <protection hidden="1"/>
    </xf>
    <xf numFmtId="0" fontId="5" fillId="0" borderId="0" xfId="0" applyNumberFormat="1" applyFont="1" applyProtection="1">
      <protection hidden="1"/>
    </xf>
    <xf numFmtId="0" fontId="5" fillId="0" borderId="0" xfId="0" applyNumberFormat="1" applyFont="1" applyBorder="1" applyProtection="1">
      <protection hidden="1"/>
    </xf>
    <xf numFmtId="0" fontId="32" fillId="5" borderId="0" xfId="0" applyNumberFormat="1" applyFont="1" applyFill="1" applyBorder="1" applyAlignment="1" applyProtection="1">
      <alignment horizontal="center"/>
      <protection locked="0"/>
    </xf>
    <xf numFmtId="0" fontId="32" fillId="5" borderId="58" xfId="0" applyNumberFormat="1" applyFont="1" applyFill="1" applyBorder="1" applyAlignment="1" applyProtection="1">
      <alignment horizontal="center"/>
      <protection locked="0"/>
    </xf>
    <xf numFmtId="0" fontId="32" fillId="5" borderId="59" xfId="0" applyNumberFormat="1" applyFont="1" applyFill="1" applyBorder="1" applyAlignment="1" applyProtection="1">
      <alignment horizontal="center"/>
      <protection locked="0"/>
    </xf>
    <xf numFmtId="0" fontId="5" fillId="0" borderId="46" xfId="0" applyFont="1" applyBorder="1" applyProtection="1">
      <protection hidden="1"/>
    </xf>
    <xf numFmtId="3" fontId="5" fillId="0" borderId="60" xfId="0" applyNumberFormat="1" applyFont="1" applyBorder="1" applyProtection="1">
      <protection hidden="1"/>
    </xf>
    <xf numFmtId="164" fontId="5" fillId="0" borderId="61" xfId="0" applyNumberFormat="1" applyFont="1" applyBorder="1" applyProtection="1">
      <protection hidden="1"/>
    </xf>
    <xf numFmtId="3" fontId="5" fillId="0" borderId="62" xfId="0" applyNumberFormat="1" applyFont="1" applyBorder="1" applyProtection="1">
      <protection hidden="1"/>
    </xf>
    <xf numFmtId="3" fontId="5" fillId="2" borderId="63" xfId="0" applyNumberFormat="1" applyFont="1" applyFill="1" applyBorder="1" applyProtection="1">
      <protection locked="0"/>
    </xf>
    <xf numFmtId="164" fontId="5" fillId="0" borderId="64" xfId="0" applyNumberFormat="1" applyFont="1" applyBorder="1" applyAlignment="1" applyProtection="1">
      <alignment horizontal="right"/>
      <protection hidden="1"/>
    </xf>
    <xf numFmtId="3" fontId="5" fillId="2" borderId="65" xfId="0" applyNumberFormat="1" applyFont="1" applyFill="1" applyBorder="1" applyProtection="1">
      <protection locked="0"/>
    </xf>
    <xf numFmtId="164" fontId="5" fillId="0" borderId="64" xfId="0" applyNumberFormat="1" applyFont="1" applyBorder="1" applyProtection="1">
      <protection hidden="1"/>
    </xf>
    <xf numFmtId="3" fontId="5" fillId="2" borderId="63" xfId="0" applyNumberFormat="1" applyFont="1" applyFill="1" applyBorder="1" applyAlignment="1" applyProtection="1">
      <protection locked="0"/>
    </xf>
    <xf numFmtId="3" fontId="5" fillId="0" borderId="65" xfId="0" applyNumberFormat="1" applyFont="1" applyBorder="1" applyProtection="1">
      <protection hidden="1"/>
    </xf>
    <xf numFmtId="9" fontId="5" fillId="2" borderId="64" xfId="0" applyNumberFormat="1" applyFont="1" applyFill="1" applyBorder="1" applyAlignment="1" applyProtection="1">
      <protection locked="0"/>
    </xf>
    <xf numFmtId="3" fontId="5" fillId="0" borderId="63" xfId="0" applyNumberFormat="1" applyFont="1" applyBorder="1" applyProtection="1">
      <protection hidden="1"/>
    </xf>
    <xf numFmtId="3" fontId="33" fillId="3" borderId="63" xfId="2" applyNumberFormat="1" applyFont="1" applyFill="1" applyBorder="1" applyAlignment="1" applyProtection="1">
      <alignment horizontal="right"/>
      <protection hidden="1"/>
    </xf>
    <xf numFmtId="9" fontId="33" fillId="3" borderId="64" xfId="2" applyNumberFormat="1" applyFont="1" applyFill="1" applyBorder="1" applyAlignment="1" applyProtection="1">
      <alignment horizontal="right"/>
      <protection hidden="1"/>
    </xf>
    <xf numFmtId="3" fontId="33" fillId="3" borderId="65" xfId="2" applyNumberFormat="1" applyFont="1" applyFill="1" applyBorder="1" applyAlignment="1" applyProtection="1">
      <alignment horizontal="right"/>
      <protection hidden="1"/>
    </xf>
    <xf numFmtId="0" fontId="5" fillId="0" borderId="56" xfId="0" applyFont="1" applyBorder="1" applyProtection="1">
      <protection hidden="1"/>
    </xf>
    <xf numFmtId="0" fontId="5" fillId="0" borderId="66" xfId="0" applyFont="1" applyBorder="1" applyProtection="1">
      <protection hidden="1"/>
    </xf>
    <xf numFmtId="3" fontId="5" fillId="0" borderId="66" xfId="0" applyNumberFormat="1" applyFont="1" applyBorder="1" applyProtection="1">
      <protection hidden="1"/>
    </xf>
    <xf numFmtId="164" fontId="5" fillId="0" borderId="66" xfId="0" applyNumberFormat="1" applyFont="1" applyBorder="1" applyProtection="1">
      <protection hidden="1"/>
    </xf>
    <xf numFmtId="3" fontId="5" fillId="0" borderId="0" xfId="0" applyNumberFormat="1" applyFont="1" applyProtection="1">
      <protection hidden="1"/>
    </xf>
    <xf numFmtId="164" fontId="5" fillId="0" borderId="0" xfId="0" applyNumberFormat="1" applyFont="1" applyProtection="1">
      <protection hidden="1"/>
    </xf>
    <xf numFmtId="0" fontId="38" fillId="0" borderId="0" xfId="0" applyFont="1" applyFill="1" applyBorder="1" applyProtection="1">
      <protection hidden="1"/>
    </xf>
    <xf numFmtId="0" fontId="38" fillId="10" borderId="0" xfId="0" applyFont="1" applyFill="1" applyBorder="1" applyProtection="1">
      <protection hidden="1"/>
    </xf>
    <xf numFmtId="3" fontId="38" fillId="10" borderId="0" xfId="0" applyNumberFormat="1" applyFont="1" applyFill="1" applyBorder="1" applyProtection="1">
      <protection hidden="1"/>
    </xf>
    <xf numFmtId="164" fontId="38" fillId="10" borderId="0" xfId="0" applyNumberFormat="1" applyFont="1" applyFill="1" applyBorder="1" applyProtection="1">
      <protection hidden="1"/>
    </xf>
    <xf numFmtId="0" fontId="39" fillId="0" borderId="0" xfId="0" applyFont="1" applyFill="1" applyBorder="1" applyProtection="1">
      <protection hidden="1"/>
    </xf>
    <xf numFmtId="49" fontId="39" fillId="10" borderId="0" xfId="0" applyNumberFormat="1" applyFont="1" applyFill="1" applyBorder="1" applyAlignment="1" applyProtection="1">
      <alignment horizontal="left"/>
      <protection hidden="1"/>
    </xf>
    <xf numFmtId="3" fontId="39" fillId="10" borderId="0" xfId="0" applyNumberFormat="1" applyFont="1" applyFill="1" applyBorder="1" applyProtection="1">
      <protection hidden="1"/>
    </xf>
    <xf numFmtId="49" fontId="38" fillId="10" borderId="0" xfId="0" applyNumberFormat="1" applyFont="1" applyFill="1" applyBorder="1" applyAlignment="1" applyProtection="1">
      <alignment horizontal="left"/>
      <protection hidden="1"/>
    </xf>
    <xf numFmtId="10" fontId="38" fillId="0" borderId="0" xfId="0" applyNumberFormat="1" applyFont="1" applyFill="1" applyBorder="1" applyProtection="1">
      <protection hidden="1"/>
    </xf>
    <xf numFmtId="10" fontId="38" fillId="10" borderId="27" xfId="0" applyNumberFormat="1" applyFont="1" applyFill="1" applyBorder="1" applyProtection="1">
      <protection hidden="1"/>
    </xf>
    <xf numFmtId="10" fontId="38" fillId="10" borderId="0" xfId="0" applyNumberFormat="1" applyFont="1" applyFill="1" applyBorder="1" applyProtection="1">
      <protection hidden="1"/>
    </xf>
    <xf numFmtId="10" fontId="38" fillId="0" borderId="0" xfId="0" applyNumberFormat="1" applyFont="1" applyProtection="1">
      <protection hidden="1"/>
    </xf>
    <xf numFmtId="10" fontId="38" fillId="10" borderId="0" xfId="0" applyNumberFormat="1" applyFont="1" applyFill="1" applyProtection="1">
      <protection hidden="1"/>
    </xf>
    <xf numFmtId="0" fontId="38" fillId="0" borderId="0" xfId="0" applyFont="1" applyProtection="1">
      <protection hidden="1"/>
    </xf>
    <xf numFmtId="0" fontId="38" fillId="10" borderId="0" xfId="0" applyFont="1" applyFill="1" applyProtection="1">
      <protection hidden="1"/>
    </xf>
    <xf numFmtId="3" fontId="38" fillId="10" borderId="0" xfId="0" applyNumberFormat="1" applyFont="1" applyFill="1" applyProtection="1">
      <protection hidden="1"/>
    </xf>
    <xf numFmtId="164" fontId="38" fillId="10" borderId="0" xfId="0" applyNumberFormat="1" applyFont="1" applyFill="1" applyProtection="1">
      <protection hidden="1"/>
    </xf>
    <xf numFmtId="0" fontId="31" fillId="5" borderId="50" xfId="0" applyNumberFormat="1" applyFont="1" applyFill="1" applyBorder="1" applyAlignment="1" applyProtection="1">
      <protection hidden="1"/>
    </xf>
    <xf numFmtId="0" fontId="31" fillId="5" borderId="67" xfId="0" applyNumberFormat="1" applyFont="1" applyFill="1" applyBorder="1" applyAlignment="1" applyProtection="1">
      <protection hidden="1"/>
    </xf>
    <xf numFmtId="0" fontId="31" fillId="5" borderId="42" xfId="0" applyNumberFormat="1" applyFont="1" applyFill="1" applyBorder="1" applyAlignment="1" applyProtection="1">
      <protection hidden="1"/>
    </xf>
    <xf numFmtId="0" fontId="5" fillId="0" borderId="68" xfId="0" applyFont="1" applyBorder="1" applyProtection="1">
      <protection hidden="1"/>
    </xf>
    <xf numFmtId="3" fontId="5" fillId="2" borderId="69" xfId="0" applyNumberFormat="1" applyFont="1" applyFill="1" applyBorder="1" applyAlignment="1" applyProtection="1">
      <alignment horizontal="right"/>
      <protection locked="0"/>
    </xf>
    <xf numFmtId="3" fontId="5" fillId="11" borderId="70" xfId="0" applyNumberFormat="1" applyFont="1" applyFill="1" applyBorder="1" applyAlignment="1" applyProtection="1">
      <alignment horizontal="right"/>
      <protection hidden="1"/>
    </xf>
    <xf numFmtId="0" fontId="38" fillId="0" borderId="0" xfId="0" applyFont="1" applyBorder="1" applyProtection="1">
      <protection hidden="1"/>
    </xf>
    <xf numFmtId="3" fontId="38" fillId="2" borderId="71" xfId="0" applyNumberFormat="1" applyFont="1" applyFill="1" applyBorder="1" applyAlignment="1" applyProtection="1">
      <alignment horizontal="right"/>
      <protection locked="0"/>
    </xf>
    <xf numFmtId="3" fontId="38" fillId="11" borderId="57" xfId="0" applyNumberFormat="1" applyFont="1" applyFill="1" applyBorder="1" applyAlignment="1" applyProtection="1">
      <alignment horizontal="right"/>
      <protection hidden="1"/>
    </xf>
    <xf numFmtId="0" fontId="38" fillId="10" borderId="27" xfId="0" applyFont="1" applyFill="1" applyBorder="1" applyProtection="1">
      <protection hidden="1"/>
    </xf>
    <xf numFmtId="3" fontId="38" fillId="10" borderId="27" xfId="0" applyNumberFormat="1" applyFont="1" applyFill="1" applyBorder="1" applyAlignment="1" applyProtection="1">
      <alignment horizontal="right"/>
      <protection hidden="1"/>
    </xf>
    <xf numFmtId="3" fontId="38" fillId="10" borderId="70" xfId="0" applyNumberFormat="1" applyFont="1" applyFill="1" applyBorder="1" applyAlignment="1" applyProtection="1">
      <alignment horizontal="right"/>
      <protection hidden="1"/>
    </xf>
    <xf numFmtId="3" fontId="38" fillId="10" borderId="0" xfId="0" applyNumberFormat="1" applyFont="1" applyFill="1" applyBorder="1" applyAlignment="1" applyProtection="1">
      <alignment horizontal="right"/>
      <protection hidden="1"/>
    </xf>
    <xf numFmtId="3" fontId="5" fillId="11" borderId="57" xfId="0" applyNumberFormat="1" applyFont="1" applyFill="1" applyBorder="1" applyAlignment="1" applyProtection="1">
      <alignment horizontal="right"/>
      <protection hidden="1"/>
    </xf>
    <xf numFmtId="3" fontId="33" fillId="3" borderId="43" xfId="2" applyNumberFormat="1" applyFont="1" applyFill="1" applyBorder="1" applyAlignment="1" applyProtection="1">
      <alignment horizontal="right"/>
      <protection hidden="1"/>
    </xf>
    <xf numFmtId="3" fontId="33" fillId="3" borderId="53" xfId="2" applyNumberFormat="1" applyFont="1" applyFill="1" applyBorder="1" applyAlignment="1" applyProtection="1">
      <alignment horizontal="right"/>
      <protection hidden="1"/>
    </xf>
    <xf numFmtId="3" fontId="33" fillId="3" borderId="44" xfId="2" applyNumberFormat="1" applyFont="1" applyFill="1" applyBorder="1" applyAlignment="1" applyProtection="1">
      <alignment horizontal="right"/>
      <protection hidden="1"/>
    </xf>
    <xf numFmtId="3" fontId="5" fillId="0" borderId="0" xfId="0" applyNumberFormat="1" applyFont="1" applyBorder="1" applyProtection="1">
      <protection hidden="1"/>
    </xf>
    <xf numFmtId="164" fontId="5" fillId="0" borderId="0" xfId="0" applyNumberFormat="1" applyFont="1" applyBorder="1" applyProtection="1">
      <protection hidden="1"/>
    </xf>
    <xf numFmtId="0" fontId="36" fillId="0" borderId="0" xfId="0" applyFont="1" applyAlignment="1" applyProtection="1">
      <alignment horizontal="center" vertical="center"/>
      <protection hidden="1"/>
    </xf>
    <xf numFmtId="3" fontId="15" fillId="0" borderId="0" xfId="0" applyNumberFormat="1" applyFont="1" applyBorder="1" applyProtection="1">
      <protection hidden="1"/>
    </xf>
    <xf numFmtId="0" fontId="30" fillId="5" borderId="0" xfId="0" applyNumberFormat="1" applyFont="1" applyFill="1" applyBorder="1" applyAlignment="1" applyProtection="1">
      <alignment horizontal="left"/>
      <protection hidden="1"/>
    </xf>
    <xf numFmtId="49" fontId="5" fillId="0" borderId="45" xfId="0" applyNumberFormat="1" applyFont="1" applyBorder="1" applyAlignment="1" applyProtection="1">
      <alignment horizontal="left"/>
      <protection hidden="1"/>
    </xf>
    <xf numFmtId="3" fontId="32" fillId="0" borderId="72" xfId="0" applyNumberFormat="1" applyFont="1" applyBorder="1" applyAlignment="1" applyProtection="1">
      <alignment horizontal="right"/>
      <protection hidden="1"/>
    </xf>
    <xf numFmtId="0" fontId="7" fillId="4" borderId="45" xfId="0" applyFont="1" applyFill="1" applyBorder="1" applyProtection="1">
      <protection hidden="1"/>
    </xf>
    <xf numFmtId="3" fontId="33" fillId="4" borderId="45" xfId="0" applyNumberFormat="1" applyFont="1" applyFill="1" applyBorder="1" applyProtection="1">
      <protection hidden="1"/>
    </xf>
    <xf numFmtId="3" fontId="33" fillId="4" borderId="44" xfId="0" applyNumberFormat="1" applyFont="1" applyFill="1" applyBorder="1" applyProtection="1">
      <protection hidden="1"/>
    </xf>
    <xf numFmtId="3" fontId="33" fillId="4" borderId="0" xfId="0" applyNumberFormat="1" applyFont="1" applyFill="1" applyProtection="1">
      <protection hidden="1"/>
    </xf>
    <xf numFmtId="0" fontId="5" fillId="0" borderId="73" xfId="0" applyFont="1" applyBorder="1" applyProtection="1">
      <protection hidden="1"/>
    </xf>
    <xf numFmtId="3" fontId="5" fillId="0" borderId="73" xfId="0" applyNumberFormat="1" applyFont="1" applyBorder="1" applyProtection="1">
      <protection hidden="1"/>
    </xf>
    <xf numFmtId="3" fontId="5" fillId="0" borderId="74" xfId="0" applyNumberFormat="1" applyFont="1" applyBorder="1" applyProtection="1">
      <protection hidden="1"/>
    </xf>
    <xf numFmtId="3" fontId="5" fillId="0" borderId="46" xfId="0" applyNumberFormat="1" applyFont="1" applyBorder="1" applyProtection="1">
      <protection hidden="1"/>
    </xf>
    <xf numFmtId="0" fontId="7" fillId="3" borderId="45" xfId="0" applyFont="1" applyFill="1" applyBorder="1" applyProtection="1">
      <protection hidden="1"/>
    </xf>
    <xf numFmtId="3" fontId="33" fillId="3" borderId="45" xfId="0" applyNumberFormat="1" applyFont="1" applyFill="1" applyBorder="1" applyProtection="1">
      <protection hidden="1"/>
    </xf>
    <xf numFmtId="3" fontId="33" fillId="3" borderId="44" xfId="0" applyNumberFormat="1" applyFont="1" applyFill="1" applyBorder="1" applyProtection="1">
      <protection hidden="1"/>
    </xf>
    <xf numFmtId="3" fontId="33" fillId="3" borderId="0" xfId="0" applyNumberFormat="1" applyFont="1" applyFill="1" applyProtection="1">
      <protection hidden="1"/>
    </xf>
    <xf numFmtId="0" fontId="30" fillId="0" borderId="0" xfId="0" applyFont="1" applyProtection="1">
      <protection hidden="1"/>
    </xf>
    <xf numFmtId="0" fontId="30" fillId="5" borderId="43" xfId="0" applyFont="1" applyFill="1" applyBorder="1" applyProtection="1">
      <protection hidden="1"/>
    </xf>
    <xf numFmtId="3" fontId="30" fillId="5" borderId="44" xfId="0" applyNumberFormat="1" applyFont="1" applyFill="1" applyBorder="1" applyProtection="1">
      <protection hidden="1"/>
    </xf>
    <xf numFmtId="3" fontId="30" fillId="5" borderId="53" xfId="0" applyNumberFormat="1" applyFont="1" applyFill="1" applyBorder="1" applyProtection="1">
      <protection hidden="1"/>
    </xf>
    <xf numFmtId="3" fontId="30" fillId="9" borderId="0" xfId="0" applyNumberFormat="1" applyFont="1" applyFill="1" applyProtection="1">
      <protection hidden="1"/>
    </xf>
    <xf numFmtId="0" fontId="5" fillId="0" borderId="27" xfId="0" applyFont="1" applyBorder="1" applyProtection="1">
      <protection hidden="1"/>
    </xf>
    <xf numFmtId="3" fontId="5" fillId="0" borderId="70" xfId="0" applyNumberFormat="1" applyFont="1" applyBorder="1" applyProtection="1">
      <protection hidden="1"/>
    </xf>
    <xf numFmtId="3" fontId="7" fillId="2" borderId="73" xfId="0" applyNumberFormat="1" applyFont="1" applyFill="1" applyBorder="1" applyProtection="1">
      <protection locked="0"/>
    </xf>
    <xf numFmtId="3" fontId="7" fillId="0" borderId="75" xfId="0" applyNumberFormat="1" applyFont="1" applyBorder="1" applyProtection="1">
      <protection hidden="1"/>
    </xf>
    <xf numFmtId="3" fontId="7" fillId="2" borderId="76" xfId="0" applyNumberFormat="1" applyFont="1" applyFill="1" applyBorder="1" applyProtection="1">
      <protection locked="0"/>
    </xf>
    <xf numFmtId="0" fontId="5" fillId="0" borderId="68" xfId="0" applyNumberFormat="1" applyFont="1" applyBorder="1" applyAlignment="1" applyProtection="1">
      <alignment horizontal="left"/>
      <protection hidden="1"/>
    </xf>
    <xf numFmtId="3" fontId="7" fillId="2" borderId="68" xfId="0" applyNumberFormat="1" applyFont="1" applyFill="1" applyBorder="1" applyProtection="1">
      <protection locked="0"/>
    </xf>
    <xf numFmtId="10" fontId="7" fillId="0" borderId="75" xfId="2" applyNumberFormat="1" applyFont="1" applyBorder="1" applyProtection="1">
      <protection hidden="1"/>
    </xf>
    <xf numFmtId="10" fontId="5" fillId="0" borderId="0" xfId="2" applyNumberFormat="1" applyFont="1" applyBorder="1" applyProtection="1">
      <protection hidden="1"/>
    </xf>
    <xf numFmtId="3" fontId="7" fillId="2" borderId="56" xfId="0" applyNumberFormat="1" applyFont="1" applyFill="1" applyBorder="1" applyProtection="1">
      <protection locked="0"/>
    </xf>
    <xf numFmtId="3" fontId="7" fillId="0" borderId="41" xfId="0" applyNumberFormat="1" applyFont="1" applyBorder="1" applyProtection="1">
      <protection hidden="1"/>
    </xf>
    <xf numFmtId="3" fontId="7" fillId="2" borderId="57" xfId="0" applyNumberFormat="1" applyFont="1" applyFill="1" applyBorder="1" applyProtection="1">
      <protection locked="0"/>
    </xf>
    <xf numFmtId="0" fontId="5" fillId="0" borderId="0" xfId="0" applyFont="1" applyFill="1" applyBorder="1" applyProtection="1">
      <protection hidden="1"/>
    </xf>
    <xf numFmtId="3" fontId="5" fillId="0" borderId="0" xfId="0" applyNumberFormat="1" applyFont="1" applyFill="1" applyBorder="1" applyProtection="1">
      <protection hidden="1"/>
    </xf>
    <xf numFmtId="3" fontId="5" fillId="0" borderId="0" xfId="0" applyNumberFormat="1" applyFont="1" applyFill="1" applyProtection="1">
      <protection hidden="1"/>
    </xf>
    <xf numFmtId="0" fontId="5" fillId="0" borderId="0" xfId="0" applyFont="1" applyFill="1" applyProtection="1">
      <protection hidden="1"/>
    </xf>
    <xf numFmtId="0" fontId="5" fillId="0" borderId="51" xfId="0" applyFont="1" applyBorder="1" applyProtection="1">
      <protection hidden="1"/>
    </xf>
    <xf numFmtId="3" fontId="5" fillId="0" borderId="51" xfId="0" applyNumberFormat="1" applyFont="1" applyBorder="1" applyProtection="1">
      <protection hidden="1"/>
    </xf>
    <xf numFmtId="3" fontId="5" fillId="0" borderId="42" xfId="0" applyNumberFormat="1" applyFont="1" applyBorder="1" applyProtection="1">
      <protection hidden="1"/>
    </xf>
    <xf numFmtId="3" fontId="5" fillId="0" borderId="68" xfId="0" applyNumberFormat="1" applyFont="1" applyBorder="1" applyProtection="1">
      <protection hidden="1"/>
    </xf>
    <xf numFmtId="3" fontId="5" fillId="0" borderId="75" xfId="0" applyNumberFormat="1" applyFont="1" applyBorder="1" applyProtection="1">
      <protection hidden="1"/>
    </xf>
    <xf numFmtId="0" fontId="7" fillId="0" borderId="0" xfId="0" applyFont="1" applyBorder="1" applyProtection="1">
      <protection hidden="1"/>
    </xf>
    <xf numFmtId="0" fontId="7" fillId="0" borderId="0" xfId="0" applyFont="1" applyProtection="1">
      <protection hidden="1"/>
    </xf>
    <xf numFmtId="10" fontId="5" fillId="0" borderId="0" xfId="2" applyNumberFormat="1" applyFont="1" applyProtection="1">
      <protection hidden="1"/>
    </xf>
    <xf numFmtId="9" fontId="5" fillId="0" borderId="0" xfId="2" applyFont="1" applyProtection="1">
      <protection hidden="1"/>
    </xf>
    <xf numFmtId="0" fontId="5" fillId="5" borderId="0" xfId="0" applyFont="1" applyFill="1" applyProtection="1">
      <protection hidden="1"/>
    </xf>
    <xf numFmtId="0" fontId="30" fillId="5" borderId="50" xfId="0" applyFont="1" applyFill="1" applyBorder="1" applyAlignment="1" applyProtection="1">
      <protection hidden="1"/>
    </xf>
    <xf numFmtId="49" fontId="31" fillId="5" borderId="42" xfId="0" applyNumberFormat="1" applyFont="1" applyFill="1" applyBorder="1" applyAlignment="1" applyProtection="1">
      <alignment horizontal="right"/>
      <protection hidden="1"/>
    </xf>
    <xf numFmtId="0" fontId="5" fillId="5" borderId="42" xfId="0" applyFont="1" applyFill="1" applyBorder="1" applyAlignment="1" applyProtection="1">
      <protection hidden="1"/>
    </xf>
    <xf numFmtId="0" fontId="31" fillId="5" borderId="43" xfId="0" applyFont="1" applyFill="1" applyBorder="1" applyAlignment="1" applyProtection="1">
      <protection hidden="1"/>
    </xf>
    <xf numFmtId="14" fontId="5" fillId="0" borderId="77" xfId="0" applyNumberFormat="1" applyFont="1" applyBorder="1" applyAlignment="1" applyProtection="1">
      <alignment horizontal="right"/>
      <protection hidden="1"/>
    </xf>
    <xf numFmtId="14" fontId="32" fillId="0" borderId="78" xfId="0" applyNumberFormat="1" applyFont="1" applyBorder="1" applyAlignment="1" applyProtection="1">
      <alignment horizontal="right"/>
      <protection hidden="1"/>
    </xf>
    <xf numFmtId="3" fontId="5" fillId="0" borderId="79" xfId="0" applyNumberFormat="1" applyFont="1" applyFill="1" applyBorder="1" applyAlignment="1" applyProtection="1">
      <protection hidden="1"/>
    </xf>
    <xf numFmtId="3" fontId="5" fillId="0" borderId="80" xfId="0" applyNumberFormat="1" applyFont="1" applyFill="1" applyBorder="1" applyAlignment="1" applyProtection="1">
      <protection hidden="1"/>
    </xf>
    <xf numFmtId="3" fontId="5" fillId="0" borderId="81" xfId="0" applyNumberFormat="1" applyFont="1" applyFill="1" applyBorder="1" applyAlignment="1" applyProtection="1">
      <protection hidden="1"/>
    </xf>
    <xf numFmtId="3" fontId="33" fillId="4" borderId="77" xfId="0" applyNumberFormat="1" applyFont="1" applyFill="1" applyBorder="1" applyAlignment="1" applyProtection="1">
      <protection hidden="1"/>
    </xf>
    <xf numFmtId="164" fontId="33" fillId="4" borderId="78" xfId="2" applyNumberFormat="1" applyFont="1" applyFill="1" applyBorder="1" applyAlignment="1" applyProtection="1">
      <protection hidden="1"/>
    </xf>
    <xf numFmtId="0" fontId="7" fillId="4" borderId="82" xfId="0" applyFont="1" applyFill="1" applyBorder="1" applyAlignment="1" applyProtection="1">
      <protection hidden="1"/>
    </xf>
    <xf numFmtId="3" fontId="33" fillId="4" borderId="83" xfId="0" applyNumberFormat="1" applyFont="1" applyFill="1" applyBorder="1" applyAlignment="1" applyProtection="1">
      <protection hidden="1"/>
    </xf>
    <xf numFmtId="164" fontId="33" fillId="4" borderId="84" xfId="2" applyNumberFormat="1" applyFont="1" applyFill="1" applyBorder="1" applyAlignment="1" applyProtection="1">
      <protection hidden="1"/>
    </xf>
    <xf numFmtId="0" fontId="19" fillId="3" borderId="85" xfId="0" applyFont="1" applyFill="1" applyBorder="1" applyAlignment="1" applyProtection="1">
      <protection hidden="1"/>
    </xf>
    <xf numFmtId="3" fontId="34" fillId="3" borderId="86" xfId="0" applyNumberFormat="1" applyFont="1" applyFill="1" applyBorder="1" applyAlignment="1" applyProtection="1">
      <protection hidden="1"/>
    </xf>
    <xf numFmtId="164" fontId="34" fillId="3" borderId="72" xfId="0" applyNumberFormat="1" applyFont="1" applyFill="1" applyBorder="1" applyAlignment="1" applyProtection="1">
      <protection hidden="1"/>
    </xf>
    <xf numFmtId="0" fontId="19" fillId="3" borderId="87" xfId="0" applyFont="1" applyFill="1" applyBorder="1" applyAlignment="1" applyProtection="1">
      <protection hidden="1"/>
    </xf>
    <xf numFmtId="3" fontId="34" fillId="3" borderId="88" xfId="0" applyNumberFormat="1" applyFont="1" applyFill="1" applyBorder="1" applyAlignment="1" applyProtection="1">
      <protection hidden="1"/>
    </xf>
    <xf numFmtId="164" fontId="34" fillId="3" borderId="89" xfId="2" applyNumberFormat="1" applyFont="1" applyFill="1" applyBorder="1" applyAlignment="1" applyProtection="1">
      <protection hidden="1"/>
    </xf>
    <xf numFmtId="0" fontId="31" fillId="0" borderId="0" xfId="0" applyFont="1" applyProtection="1">
      <protection hidden="1"/>
    </xf>
    <xf numFmtId="3" fontId="31" fillId="0" borderId="0" xfId="0" applyNumberFormat="1" applyFont="1" applyProtection="1">
      <protection hidden="1"/>
    </xf>
    <xf numFmtId="164" fontId="31" fillId="0" borderId="0" xfId="0" applyNumberFormat="1" applyFont="1" applyProtection="1">
      <protection hidden="1"/>
    </xf>
    <xf numFmtId="0" fontId="5" fillId="5" borderId="67" xfId="0" applyFont="1" applyFill="1" applyBorder="1" applyAlignment="1" applyProtection="1">
      <protection hidden="1"/>
    </xf>
    <xf numFmtId="49" fontId="10" fillId="0" borderId="43" xfId="0" applyNumberFormat="1" applyFont="1" applyBorder="1" applyAlignment="1" applyProtection="1">
      <alignment horizontal="left"/>
      <protection hidden="1"/>
    </xf>
    <xf numFmtId="165" fontId="32" fillId="0" borderId="90" xfId="0" applyNumberFormat="1" applyFont="1" applyBorder="1" applyAlignment="1" applyProtection="1">
      <alignment horizontal="right"/>
      <protection hidden="1"/>
    </xf>
    <xf numFmtId="0" fontId="32" fillId="0" borderId="90" xfId="0" applyFont="1" applyBorder="1" applyAlignment="1" applyProtection="1">
      <alignment horizontal="right"/>
      <protection hidden="1"/>
    </xf>
    <xf numFmtId="0" fontId="32" fillId="0" borderId="45" xfId="0" applyFont="1" applyBorder="1" applyAlignment="1" applyProtection="1">
      <alignment horizontal="right"/>
      <protection hidden="1"/>
    </xf>
    <xf numFmtId="49" fontId="7" fillId="4" borderId="43" xfId="0" applyNumberFormat="1" applyFont="1" applyFill="1" applyBorder="1" applyAlignment="1" applyProtection="1">
      <alignment horizontal="left"/>
      <protection hidden="1"/>
    </xf>
    <xf numFmtId="164" fontId="33" fillId="4" borderId="90" xfId="0" applyNumberFormat="1" applyFont="1" applyFill="1" applyBorder="1" applyAlignment="1" applyProtection="1">
      <protection hidden="1"/>
    </xf>
    <xf numFmtId="49" fontId="5" fillId="0" borderId="27" xfId="0" applyNumberFormat="1" applyFont="1" applyBorder="1" applyAlignment="1" applyProtection="1">
      <alignment horizontal="left"/>
      <protection hidden="1"/>
    </xf>
    <xf numFmtId="164" fontId="32" fillId="0" borderId="91" xfId="0" applyNumberFormat="1" applyFont="1" applyBorder="1" applyAlignment="1" applyProtection="1">
      <protection hidden="1"/>
    </xf>
    <xf numFmtId="49" fontId="7" fillId="3" borderId="43" xfId="0" applyNumberFormat="1" applyFont="1" applyFill="1" applyBorder="1" applyAlignment="1" applyProtection="1">
      <alignment horizontal="left"/>
      <protection hidden="1"/>
    </xf>
    <xf numFmtId="3" fontId="33" fillId="3" borderId="92" xfId="0" applyNumberFormat="1" applyFont="1" applyFill="1" applyBorder="1" applyAlignment="1" applyProtection="1">
      <protection hidden="1"/>
    </xf>
    <xf numFmtId="164" fontId="33" fillId="3" borderId="90" xfId="0" applyNumberFormat="1" applyFont="1" applyFill="1" applyBorder="1" applyAlignment="1" applyProtection="1">
      <protection hidden="1"/>
    </xf>
    <xf numFmtId="49" fontId="5" fillId="0" borderId="2" xfId="0" applyNumberFormat="1" applyFont="1" applyBorder="1" applyAlignment="1" applyProtection="1">
      <alignment horizontal="left"/>
      <protection hidden="1"/>
    </xf>
    <xf numFmtId="164" fontId="32" fillId="0" borderId="93" xfId="0" applyNumberFormat="1" applyFont="1" applyBorder="1" applyAlignment="1" applyProtection="1">
      <protection hidden="1"/>
    </xf>
    <xf numFmtId="164" fontId="32" fillId="0" borderId="94" xfId="0" applyNumberFormat="1" applyFont="1" applyBorder="1" applyAlignment="1" applyProtection="1">
      <protection hidden="1"/>
    </xf>
    <xf numFmtId="49" fontId="5" fillId="0" borderId="52" xfId="0" applyNumberFormat="1" applyFont="1" applyBorder="1" applyAlignment="1" applyProtection="1">
      <alignment horizontal="left"/>
      <protection hidden="1"/>
    </xf>
    <xf numFmtId="164" fontId="32" fillId="0" borderId="95" xfId="0" applyNumberFormat="1" applyFont="1" applyBorder="1" applyAlignment="1" applyProtection="1">
      <protection hidden="1"/>
    </xf>
    <xf numFmtId="3" fontId="5" fillId="0" borderId="70" xfId="0" applyNumberFormat="1" applyFont="1" applyFill="1" applyBorder="1" applyAlignment="1" applyProtection="1">
      <protection hidden="1"/>
    </xf>
    <xf numFmtId="49" fontId="30" fillId="5" borderId="85" xfId="0" applyNumberFormat="1" applyFont="1" applyFill="1" applyBorder="1" applyAlignment="1" applyProtection="1">
      <alignment horizontal="left"/>
      <protection hidden="1"/>
    </xf>
    <xf numFmtId="3" fontId="30" fillId="5" borderId="96" xfId="0" applyNumberFormat="1" applyFont="1" applyFill="1" applyBorder="1" applyAlignment="1" applyProtection="1">
      <protection hidden="1"/>
    </xf>
    <xf numFmtId="164" fontId="30" fillId="5" borderId="97" xfId="0" applyNumberFormat="1" applyFont="1" applyFill="1" applyBorder="1" applyAlignment="1" applyProtection="1">
      <protection hidden="1"/>
    </xf>
    <xf numFmtId="3" fontId="5" fillId="5" borderId="0" xfId="0" applyNumberFormat="1" applyFont="1" applyFill="1" applyProtection="1">
      <protection hidden="1"/>
    </xf>
    <xf numFmtId="3" fontId="5" fillId="9" borderId="0" xfId="0" applyNumberFormat="1" applyFont="1" applyFill="1" applyProtection="1">
      <protection hidden="1"/>
    </xf>
    <xf numFmtId="0" fontId="30" fillId="5" borderId="43" xfId="0" applyNumberFormat="1" applyFont="1" applyFill="1" applyBorder="1" applyAlignment="1" applyProtection="1">
      <protection hidden="1"/>
    </xf>
    <xf numFmtId="3" fontId="5" fillId="5" borderId="44" xfId="0" applyNumberFormat="1" applyFont="1" applyFill="1" applyBorder="1" applyAlignment="1" applyProtection="1">
      <protection hidden="1"/>
    </xf>
    <xf numFmtId="3" fontId="5" fillId="5" borderId="53" xfId="0" applyNumberFormat="1" applyFont="1" applyFill="1" applyBorder="1" applyAlignment="1" applyProtection="1">
      <protection hidden="1"/>
    </xf>
    <xf numFmtId="3" fontId="5" fillId="9" borderId="58" xfId="0" applyNumberFormat="1" applyFont="1" applyFill="1" applyBorder="1" applyAlignment="1" applyProtection="1">
      <protection hidden="1"/>
    </xf>
    <xf numFmtId="165" fontId="32" fillId="0" borderId="78" xfId="0" applyNumberFormat="1" applyFont="1" applyBorder="1" applyAlignment="1" applyProtection="1">
      <alignment horizontal="right"/>
      <protection hidden="1"/>
    </xf>
    <xf numFmtId="3" fontId="32" fillId="0" borderId="78" xfId="0" applyNumberFormat="1" applyFont="1" applyBorder="1" applyAlignment="1" applyProtection="1">
      <alignment horizontal="right"/>
      <protection hidden="1"/>
    </xf>
    <xf numFmtId="49" fontId="5" fillId="0" borderId="19" xfId="0" applyNumberFormat="1" applyFont="1" applyBorder="1" applyAlignment="1" applyProtection="1">
      <alignment horizontal="left"/>
      <protection hidden="1"/>
    </xf>
    <xf numFmtId="3" fontId="5" fillId="0" borderId="98" xfId="0" applyNumberFormat="1" applyFont="1" applyFill="1" applyBorder="1" applyAlignment="1" applyProtection="1">
      <protection hidden="1"/>
    </xf>
    <xf numFmtId="3" fontId="32" fillId="0" borderId="24" xfId="0" applyNumberFormat="1" applyFont="1" applyBorder="1" applyAlignment="1" applyProtection="1">
      <protection hidden="1"/>
    </xf>
    <xf numFmtId="3" fontId="32" fillId="0" borderId="12" xfId="0" applyNumberFormat="1" applyFont="1" applyBorder="1" applyAlignment="1" applyProtection="1">
      <protection hidden="1"/>
    </xf>
    <xf numFmtId="0" fontId="5" fillId="0" borderId="2" xfId="0" applyNumberFormat="1" applyFont="1" applyBorder="1" applyAlignment="1" applyProtection="1">
      <alignment horizontal="left"/>
      <protection hidden="1"/>
    </xf>
    <xf numFmtId="3" fontId="5" fillId="0" borderId="99" xfId="0" applyNumberFormat="1" applyFont="1" applyFill="1" applyBorder="1" applyAlignment="1" applyProtection="1">
      <protection hidden="1"/>
    </xf>
    <xf numFmtId="0" fontId="5" fillId="0" borderId="27" xfId="0" applyNumberFormat="1" applyFont="1" applyBorder="1" applyAlignment="1" applyProtection="1">
      <alignment horizontal="left"/>
      <protection hidden="1"/>
    </xf>
    <xf numFmtId="3" fontId="5" fillId="0" borderId="100" xfId="0" applyNumberFormat="1" applyFont="1" applyFill="1" applyBorder="1" applyAlignment="1" applyProtection="1">
      <protection hidden="1"/>
    </xf>
    <xf numFmtId="3" fontId="32" fillId="0" borderId="31" xfId="0" applyNumberFormat="1" applyFont="1" applyBorder="1" applyAlignment="1" applyProtection="1">
      <protection hidden="1"/>
    </xf>
    <xf numFmtId="0" fontId="7" fillId="3" borderId="43" xfId="0" applyNumberFormat="1" applyFont="1" applyFill="1" applyBorder="1" applyAlignment="1" applyProtection="1">
      <alignment horizontal="left"/>
      <protection hidden="1"/>
    </xf>
    <xf numFmtId="3" fontId="33" fillId="3" borderId="101" xfId="0" applyNumberFormat="1" applyFont="1" applyFill="1" applyBorder="1" applyAlignment="1" applyProtection="1">
      <protection hidden="1"/>
    </xf>
    <xf numFmtId="3" fontId="33" fillId="3" borderId="78" xfId="0" applyNumberFormat="1" applyFont="1" applyFill="1" applyBorder="1" applyAlignment="1" applyProtection="1">
      <protection hidden="1"/>
    </xf>
    <xf numFmtId="3" fontId="33" fillId="3" borderId="72" xfId="0" applyNumberFormat="1" applyFont="1" applyFill="1" applyBorder="1" applyAlignment="1" applyProtection="1">
      <protection hidden="1"/>
    </xf>
    <xf numFmtId="3" fontId="32" fillId="0" borderId="102" xfId="0" applyNumberFormat="1" applyFont="1" applyBorder="1" applyAlignment="1" applyProtection="1">
      <protection hidden="1"/>
    </xf>
    <xf numFmtId="0" fontId="5" fillId="0" borderId="52" xfId="0" applyNumberFormat="1" applyFont="1" applyBorder="1" applyAlignment="1" applyProtection="1">
      <alignment horizontal="left"/>
      <protection hidden="1"/>
    </xf>
    <xf numFmtId="3" fontId="5" fillId="0" borderId="103" xfId="0" applyNumberFormat="1" applyFont="1" applyFill="1" applyBorder="1" applyAlignment="1" applyProtection="1">
      <protection hidden="1"/>
    </xf>
    <xf numFmtId="3" fontId="32" fillId="0" borderId="17" xfId="0" applyNumberFormat="1" applyFont="1" applyBorder="1" applyAlignment="1" applyProtection="1">
      <protection hidden="1"/>
    </xf>
    <xf numFmtId="0" fontId="5" fillId="0" borderId="91" xfId="0" applyNumberFormat="1" applyFont="1" applyBorder="1" applyAlignment="1" applyProtection="1">
      <alignment horizontal="left"/>
      <protection hidden="1"/>
    </xf>
    <xf numFmtId="0" fontId="5" fillId="0" borderId="93" xfId="0" applyNumberFormat="1" applyFont="1" applyBorder="1" applyAlignment="1" applyProtection="1">
      <alignment horizontal="left"/>
      <protection hidden="1"/>
    </xf>
    <xf numFmtId="0" fontId="5" fillId="0" borderId="95" xfId="0" applyNumberFormat="1" applyFont="1" applyBorder="1" applyAlignment="1" applyProtection="1">
      <alignment horizontal="left"/>
      <protection hidden="1"/>
    </xf>
    <xf numFmtId="3" fontId="32" fillId="0" borderId="104" xfId="0" applyNumberFormat="1" applyFont="1" applyBorder="1" applyAlignment="1" applyProtection="1">
      <protection hidden="1"/>
    </xf>
    <xf numFmtId="0" fontId="38" fillId="10" borderId="27" xfId="0" quotePrefix="1" applyNumberFormat="1" applyFont="1" applyFill="1" applyBorder="1" applyAlignment="1" applyProtection="1">
      <alignment horizontal="left"/>
      <protection hidden="1"/>
    </xf>
    <xf numFmtId="3" fontId="40" fillId="10" borderId="100" xfId="0" applyNumberFormat="1" applyFont="1" applyFill="1" applyBorder="1" applyAlignment="1" applyProtection="1">
      <protection hidden="1"/>
    </xf>
    <xf numFmtId="3" fontId="40" fillId="10" borderId="31" xfId="0" applyNumberFormat="1" applyFont="1" applyFill="1" applyBorder="1" applyAlignment="1" applyProtection="1">
      <protection hidden="1"/>
    </xf>
    <xf numFmtId="0" fontId="5" fillId="0" borderId="50" xfId="0" applyNumberFormat="1" applyFont="1" applyBorder="1" applyAlignment="1" applyProtection="1">
      <alignment horizontal="left"/>
      <protection hidden="1"/>
    </xf>
    <xf numFmtId="3" fontId="5" fillId="0" borderId="105" xfId="0" applyNumberFormat="1" applyFont="1" applyFill="1" applyBorder="1" applyAlignment="1" applyProtection="1">
      <protection hidden="1"/>
    </xf>
    <xf numFmtId="3" fontId="32" fillId="0" borderId="106" xfId="0" applyNumberFormat="1" applyFont="1" applyBorder="1" applyAlignment="1" applyProtection="1">
      <protection hidden="1"/>
    </xf>
    <xf numFmtId="0" fontId="38" fillId="10" borderId="27" xfId="0" applyNumberFormat="1" applyFont="1" applyFill="1" applyBorder="1" applyAlignment="1" applyProtection="1">
      <alignment horizontal="left"/>
      <protection hidden="1"/>
    </xf>
    <xf numFmtId="3" fontId="40" fillId="10" borderId="0" xfId="0" applyNumberFormat="1" applyFont="1" applyFill="1" applyBorder="1" applyAlignment="1" applyProtection="1">
      <protection hidden="1"/>
    </xf>
    <xf numFmtId="3" fontId="40" fillId="10" borderId="102" xfId="0" applyNumberFormat="1" applyFont="1" applyFill="1" applyBorder="1" applyAlignment="1" applyProtection="1">
      <protection hidden="1"/>
    </xf>
    <xf numFmtId="0" fontId="5" fillId="0" borderId="107" xfId="0" applyNumberFormat="1" applyFont="1" applyBorder="1" applyAlignment="1" applyProtection="1">
      <alignment horizontal="left"/>
      <protection hidden="1"/>
    </xf>
    <xf numFmtId="3" fontId="5" fillId="0" borderId="108" xfId="0" applyNumberFormat="1" applyFont="1" applyFill="1" applyBorder="1" applyAlignment="1" applyProtection="1">
      <protection hidden="1"/>
    </xf>
    <xf numFmtId="3" fontId="32" fillId="0" borderId="109" xfId="0" applyNumberFormat="1" applyFont="1" applyBorder="1" applyAlignment="1" applyProtection="1">
      <protection hidden="1"/>
    </xf>
    <xf numFmtId="3" fontId="32" fillId="0" borderId="110" xfId="0" applyNumberFormat="1" applyFont="1" applyBorder="1" applyAlignment="1" applyProtection="1">
      <protection hidden="1"/>
    </xf>
    <xf numFmtId="3" fontId="32" fillId="0" borderId="70" xfId="0" applyNumberFormat="1" applyFont="1" applyBorder="1" applyAlignment="1" applyProtection="1">
      <protection hidden="1"/>
    </xf>
    <xf numFmtId="3" fontId="33" fillId="3" borderId="53" xfId="0" applyNumberFormat="1" applyFont="1" applyFill="1" applyBorder="1" applyAlignment="1" applyProtection="1">
      <protection hidden="1"/>
    </xf>
    <xf numFmtId="0" fontId="5" fillId="0" borderId="2" xfId="0" quotePrefix="1" applyNumberFormat="1" applyFont="1" applyBorder="1" applyAlignment="1" applyProtection="1">
      <alignment horizontal="left"/>
      <protection hidden="1"/>
    </xf>
    <xf numFmtId="0" fontId="30" fillId="5" borderId="87" xfId="0" applyNumberFormat="1" applyFont="1" applyFill="1" applyBorder="1" applyAlignment="1" applyProtection="1">
      <alignment horizontal="left"/>
      <protection hidden="1"/>
    </xf>
    <xf numFmtId="3" fontId="30" fillId="5" borderId="111" xfId="0" applyNumberFormat="1" applyFont="1" applyFill="1" applyBorder="1" applyAlignment="1" applyProtection="1">
      <protection hidden="1"/>
    </xf>
    <xf numFmtId="3" fontId="30" fillId="5" borderId="89" xfId="0" applyNumberFormat="1" applyFont="1" applyFill="1" applyBorder="1" applyAlignment="1" applyProtection="1">
      <protection hidden="1"/>
    </xf>
    <xf numFmtId="3" fontId="30" fillId="5" borderId="112" xfId="0" applyNumberFormat="1" applyFont="1" applyFill="1" applyBorder="1" applyAlignment="1" applyProtection="1">
      <protection hidden="1"/>
    </xf>
    <xf numFmtId="3" fontId="30" fillId="9" borderId="89" xfId="0" applyNumberFormat="1" applyFont="1" applyFill="1" applyBorder="1" applyAlignment="1" applyProtection="1">
      <protection hidden="1"/>
    </xf>
    <xf numFmtId="166" fontId="5" fillId="0" borderId="0" xfId="0" applyNumberFormat="1" applyFont="1" applyProtection="1">
      <protection hidden="1"/>
    </xf>
    <xf numFmtId="0" fontId="15" fillId="0" borderId="0" xfId="0" applyNumberFormat="1" applyFont="1" applyProtection="1">
      <protection hidden="1"/>
    </xf>
    <xf numFmtId="3" fontId="5" fillId="0" borderId="0" xfId="0" applyNumberFormat="1" applyFont="1" applyAlignment="1" applyProtection="1">
      <alignment horizontal="right"/>
      <protection hidden="1"/>
    </xf>
    <xf numFmtId="0" fontId="5" fillId="0" borderId="0" xfId="0" applyFont="1" applyAlignment="1" applyProtection="1">
      <alignment horizontal="right"/>
      <protection hidden="1"/>
    </xf>
    <xf numFmtId="0" fontId="5" fillId="5" borderId="0" xfId="0" applyFont="1" applyFill="1" applyAlignment="1" applyProtection="1">
      <alignment horizontal="right"/>
      <protection hidden="1"/>
    </xf>
    <xf numFmtId="0" fontId="5" fillId="9" borderId="0" xfId="0" applyFont="1" applyFill="1" applyProtection="1">
      <protection hidden="1"/>
    </xf>
    <xf numFmtId="0" fontId="5" fillId="5" borderId="44" xfId="0" applyFont="1" applyFill="1" applyBorder="1" applyAlignment="1" applyProtection="1">
      <alignment horizontal="right"/>
      <protection hidden="1"/>
    </xf>
    <xf numFmtId="0" fontId="5" fillId="5" borderId="53" xfId="0" applyFont="1" applyFill="1" applyBorder="1" applyAlignment="1" applyProtection="1">
      <protection hidden="1"/>
    </xf>
    <xf numFmtId="0" fontId="5" fillId="9" borderId="58" xfId="0" applyFont="1" applyFill="1" applyBorder="1" applyAlignment="1" applyProtection="1">
      <protection hidden="1"/>
    </xf>
    <xf numFmtId="49" fontId="5" fillId="0" borderId="43" xfId="0" applyNumberFormat="1" applyFont="1" applyBorder="1" applyAlignment="1" applyProtection="1">
      <alignment horizontal="left"/>
      <protection hidden="1"/>
    </xf>
    <xf numFmtId="0" fontId="32" fillId="0" borderId="97" xfId="0" applyFont="1" applyBorder="1" applyAlignment="1" applyProtection="1">
      <alignment horizontal="right"/>
      <protection hidden="1"/>
    </xf>
    <xf numFmtId="3" fontId="33" fillId="3" borderId="92" xfId="0" applyNumberFormat="1" applyFont="1" applyFill="1" applyBorder="1" applyAlignment="1" applyProtection="1">
      <alignment horizontal="right"/>
      <protection hidden="1"/>
    </xf>
    <xf numFmtId="164" fontId="33" fillId="3" borderId="97" xfId="0" applyNumberFormat="1" applyFont="1" applyFill="1" applyBorder="1" applyAlignment="1" applyProtection="1">
      <protection hidden="1"/>
    </xf>
    <xf numFmtId="164" fontId="5" fillId="0" borderId="79" xfId="0" applyNumberFormat="1" applyFont="1" applyFill="1" applyBorder="1" applyAlignment="1" applyProtection="1">
      <alignment horizontal="right"/>
      <protection hidden="1"/>
    </xf>
    <xf numFmtId="164" fontId="32" fillId="0" borderId="113" xfId="0" applyNumberFormat="1" applyFont="1" applyBorder="1" applyAlignment="1" applyProtection="1">
      <protection hidden="1"/>
    </xf>
    <xf numFmtId="164" fontId="5" fillId="0" borderId="80" xfId="0" applyNumberFormat="1" applyFont="1" applyFill="1" applyBorder="1" applyAlignment="1" applyProtection="1">
      <alignment horizontal="right"/>
      <protection hidden="1"/>
    </xf>
    <xf numFmtId="1" fontId="5" fillId="0" borderId="80" xfId="0" applyNumberFormat="1" applyFont="1" applyFill="1" applyBorder="1" applyAlignment="1" applyProtection="1">
      <alignment horizontal="right"/>
      <protection hidden="1"/>
    </xf>
    <xf numFmtId="1" fontId="32" fillId="0" borderId="93" xfId="0" applyNumberFormat="1" applyFont="1" applyBorder="1" applyAlignment="1" applyProtection="1">
      <protection hidden="1"/>
    </xf>
    <xf numFmtId="3" fontId="5" fillId="0" borderId="80" xfId="0" applyNumberFormat="1" applyFont="1" applyFill="1" applyBorder="1" applyAlignment="1" applyProtection="1">
      <alignment horizontal="right"/>
      <protection hidden="1"/>
    </xf>
    <xf numFmtId="3" fontId="5" fillId="0" borderId="79" xfId="0" applyNumberFormat="1" applyFont="1" applyFill="1" applyBorder="1" applyAlignment="1" applyProtection="1">
      <alignment horizontal="right"/>
      <protection hidden="1"/>
    </xf>
    <xf numFmtId="3" fontId="33" fillId="3" borderId="77" xfId="0" applyNumberFormat="1" applyFont="1" applyFill="1" applyBorder="1" applyAlignment="1" applyProtection="1">
      <alignment horizontal="right"/>
      <protection hidden="1"/>
    </xf>
    <xf numFmtId="3" fontId="5" fillId="0" borderId="81" xfId="0" applyNumberFormat="1" applyFont="1" applyFill="1" applyBorder="1" applyAlignment="1" applyProtection="1">
      <alignment horizontal="right"/>
      <protection hidden="1"/>
    </xf>
    <xf numFmtId="3" fontId="31" fillId="0" borderId="0" xfId="0" applyNumberFormat="1" applyFont="1" applyAlignment="1" applyProtection="1">
      <alignment horizontal="right"/>
      <protection hidden="1"/>
    </xf>
    <xf numFmtId="3" fontId="15" fillId="0" borderId="0" xfId="0" applyNumberFormat="1" applyFont="1" applyAlignment="1" applyProtection="1">
      <alignment horizontal="right"/>
      <protection hidden="1"/>
    </xf>
    <xf numFmtId="0" fontId="15" fillId="0" borderId="0" xfId="0" applyFont="1" applyAlignment="1" applyProtection="1">
      <alignment horizontal="right"/>
      <protection hidden="1"/>
    </xf>
    <xf numFmtId="0" fontId="7" fillId="0" borderId="0" xfId="0" applyFont="1" applyAlignment="1" applyProtection="1">
      <alignment horizontal="center"/>
      <protection hidden="1"/>
    </xf>
    <xf numFmtId="9" fontId="5" fillId="0" borderId="0" xfId="0" applyNumberFormat="1" applyFont="1" applyAlignment="1" applyProtection="1">
      <alignment horizontal="right"/>
      <protection hidden="1"/>
    </xf>
    <xf numFmtId="3" fontId="31" fillId="5" borderId="92" xfId="0" applyNumberFormat="1" applyFont="1" applyFill="1" applyBorder="1" applyAlignment="1" applyProtection="1">
      <protection hidden="1"/>
    </xf>
    <xf numFmtId="3" fontId="31" fillId="5" borderId="114" xfId="0" applyNumberFormat="1" applyFont="1" applyFill="1" applyBorder="1" applyAlignment="1" applyProtection="1">
      <protection hidden="1"/>
    </xf>
    <xf numFmtId="3" fontId="31" fillId="5" borderId="115" xfId="0" applyNumberFormat="1" applyFont="1" applyFill="1" applyBorder="1" applyAlignment="1" applyProtection="1">
      <protection hidden="1"/>
    </xf>
    <xf numFmtId="9" fontId="31" fillId="5" borderId="78" xfId="0" applyNumberFormat="1" applyFont="1" applyFill="1" applyBorder="1" applyAlignment="1" applyProtection="1">
      <protection hidden="1"/>
    </xf>
    <xf numFmtId="3" fontId="31" fillId="5" borderId="92" xfId="0" applyNumberFormat="1" applyFont="1" applyFill="1" applyBorder="1" applyAlignment="1" applyProtection="1">
      <alignment horizontal="right"/>
      <protection hidden="1"/>
    </xf>
    <xf numFmtId="3" fontId="31" fillId="5" borderId="116" xfId="0" applyNumberFormat="1" applyFont="1" applyFill="1" applyBorder="1" applyAlignment="1" applyProtection="1">
      <alignment horizontal="right"/>
      <protection hidden="1"/>
    </xf>
    <xf numFmtId="3" fontId="31" fillId="5" borderId="26" xfId="0" applyNumberFormat="1" applyFont="1" applyFill="1" applyBorder="1" applyAlignment="1" applyProtection="1">
      <alignment horizontal="right"/>
      <protection hidden="1"/>
    </xf>
    <xf numFmtId="0" fontId="5" fillId="4" borderId="43" xfId="0" quotePrefix="1" applyFont="1" applyFill="1" applyBorder="1" applyAlignment="1" applyProtection="1">
      <alignment horizontal="center"/>
      <protection hidden="1"/>
    </xf>
    <xf numFmtId="0" fontId="5" fillId="4" borderId="44" xfId="0" applyFont="1" applyFill="1" applyBorder="1" applyAlignment="1" applyProtection="1">
      <protection hidden="1"/>
    </xf>
    <xf numFmtId="3" fontId="11" fillId="3" borderId="92" xfId="0" applyNumberFormat="1" applyFont="1" applyFill="1" applyBorder="1" applyAlignment="1" applyProtection="1">
      <protection hidden="1"/>
    </xf>
    <xf numFmtId="3" fontId="11" fillId="3" borderId="114" xfId="0" applyNumberFormat="1" applyFont="1" applyFill="1" applyBorder="1" applyAlignment="1" applyProtection="1">
      <protection hidden="1"/>
    </xf>
    <xf numFmtId="3" fontId="11" fillId="4" borderId="115" xfId="0" applyNumberFormat="1" applyFont="1" applyFill="1" applyBorder="1" applyAlignment="1" applyProtection="1">
      <protection hidden="1"/>
    </xf>
    <xf numFmtId="9" fontId="11" fillId="4" borderId="78" xfId="0" applyNumberFormat="1" applyFont="1" applyFill="1" applyBorder="1" applyAlignment="1" applyProtection="1">
      <protection hidden="1"/>
    </xf>
    <xf numFmtId="3" fontId="32" fillId="4" borderId="92" xfId="0" applyNumberFormat="1" applyFont="1" applyFill="1" applyBorder="1" applyAlignment="1" applyProtection="1">
      <protection hidden="1"/>
    </xf>
    <xf numFmtId="3" fontId="32" fillId="4" borderId="116" xfId="0" applyNumberFormat="1" applyFont="1" applyFill="1" applyBorder="1" applyAlignment="1" applyProtection="1">
      <protection hidden="1"/>
    </xf>
    <xf numFmtId="3" fontId="32" fillId="4" borderId="26" xfId="0" applyNumberFormat="1" applyFont="1" applyFill="1" applyBorder="1" applyAlignment="1" applyProtection="1">
      <protection hidden="1"/>
    </xf>
    <xf numFmtId="0" fontId="31" fillId="5" borderId="43" xfId="0" quotePrefix="1" applyFont="1" applyFill="1" applyBorder="1" applyAlignment="1" applyProtection="1">
      <alignment horizontal="center"/>
      <protection hidden="1"/>
    </xf>
    <xf numFmtId="3" fontId="31" fillId="5" borderId="116" xfId="0" applyNumberFormat="1" applyFont="1" applyFill="1" applyBorder="1" applyAlignment="1" applyProtection="1">
      <protection hidden="1"/>
    </xf>
    <xf numFmtId="3" fontId="31" fillId="5" borderId="117" xfId="0" applyNumberFormat="1" applyFont="1" applyFill="1" applyBorder="1" applyAlignment="1" applyProtection="1">
      <protection hidden="1"/>
    </xf>
    <xf numFmtId="3" fontId="31" fillId="5" borderId="26" xfId="0" applyNumberFormat="1" applyFont="1" applyFill="1" applyBorder="1" applyAlignment="1" applyProtection="1">
      <protection hidden="1"/>
    </xf>
    <xf numFmtId="3" fontId="32" fillId="4" borderId="43" xfId="0" applyNumberFormat="1" applyFont="1" applyFill="1" applyBorder="1" applyAlignment="1" applyProtection="1">
      <protection hidden="1"/>
    </xf>
    <xf numFmtId="3" fontId="32" fillId="4" borderId="117" xfId="0" applyNumberFormat="1" applyFont="1" applyFill="1" applyBorder="1" applyAlignment="1" applyProtection="1">
      <protection hidden="1"/>
    </xf>
    <xf numFmtId="0" fontId="17" fillId="3" borderId="43" xfId="0" quotePrefix="1" applyFont="1" applyFill="1" applyBorder="1" applyAlignment="1" applyProtection="1">
      <alignment horizontal="center"/>
      <protection hidden="1"/>
    </xf>
    <xf numFmtId="3" fontId="32" fillId="3" borderId="92" xfId="0" applyNumberFormat="1" applyFont="1" applyFill="1" applyBorder="1" applyAlignment="1" applyProtection="1">
      <protection hidden="1"/>
    </xf>
    <xf numFmtId="3" fontId="32" fillId="3" borderId="26" xfId="0" applyNumberFormat="1" applyFont="1" applyFill="1" applyBorder="1" applyAlignment="1" applyProtection="1">
      <protection hidden="1"/>
    </xf>
    <xf numFmtId="3" fontId="32" fillId="3" borderId="117" xfId="0" applyNumberFormat="1" applyFont="1" applyFill="1" applyBorder="1" applyAlignment="1" applyProtection="1">
      <protection hidden="1"/>
    </xf>
    <xf numFmtId="3" fontId="31" fillId="5" borderId="44" xfId="0" applyNumberFormat="1" applyFont="1" applyFill="1" applyBorder="1" applyAlignment="1" applyProtection="1">
      <protection hidden="1"/>
    </xf>
    <xf numFmtId="0" fontId="5" fillId="3" borderId="43" xfId="0" quotePrefix="1" applyFont="1" applyFill="1" applyBorder="1" applyAlignment="1" applyProtection="1">
      <alignment horizontal="center"/>
      <protection hidden="1"/>
    </xf>
    <xf numFmtId="3" fontId="32" fillId="3" borderId="116" xfId="0" applyNumberFormat="1" applyFont="1" applyFill="1" applyBorder="1" applyAlignment="1" applyProtection="1">
      <protection hidden="1"/>
    </xf>
    <xf numFmtId="0" fontId="5" fillId="0" borderId="50" xfId="0" quotePrefix="1" applyFont="1" applyFill="1" applyBorder="1" applyAlignment="1" applyProtection="1">
      <alignment horizontal="center"/>
      <protection hidden="1"/>
    </xf>
    <xf numFmtId="3" fontId="11" fillId="3" borderId="118" xfId="0" applyNumberFormat="1" applyFont="1" applyFill="1" applyBorder="1" applyAlignment="1" applyProtection="1">
      <protection hidden="1"/>
    </xf>
    <xf numFmtId="3" fontId="11" fillId="3" borderId="119" xfId="0" applyNumberFormat="1" applyFont="1" applyFill="1" applyBorder="1" applyAlignment="1" applyProtection="1">
      <protection hidden="1"/>
    </xf>
    <xf numFmtId="3" fontId="11" fillId="4" borderId="120" xfId="0" applyNumberFormat="1" applyFont="1" applyFill="1" applyBorder="1" applyAlignment="1" applyProtection="1">
      <protection hidden="1"/>
    </xf>
    <xf numFmtId="9" fontId="11" fillId="4" borderId="106" xfId="0" applyNumberFormat="1" applyFont="1" applyFill="1" applyBorder="1" applyAlignment="1" applyProtection="1">
      <protection hidden="1"/>
    </xf>
    <xf numFmtId="3" fontId="32" fillId="2" borderId="118" xfId="0" applyNumberFormat="1" applyFont="1" applyFill="1" applyBorder="1" applyAlignment="1" applyProtection="1">
      <protection locked="0" hidden="1"/>
    </xf>
    <xf numFmtId="3" fontId="32" fillId="2" borderId="9" xfId="0" applyNumberFormat="1" applyFont="1" applyFill="1" applyBorder="1" applyAlignment="1" applyProtection="1">
      <protection locked="0" hidden="1"/>
    </xf>
    <xf numFmtId="3" fontId="32" fillId="3" borderId="118" xfId="0" applyNumberFormat="1" applyFont="1" applyFill="1" applyBorder="1" applyAlignment="1" applyProtection="1">
      <protection hidden="1"/>
    </xf>
    <xf numFmtId="0" fontId="37" fillId="5" borderId="85" xfId="0" quotePrefix="1" applyFont="1" applyFill="1" applyBorder="1" applyAlignment="1" applyProtection="1">
      <alignment horizontal="center"/>
      <protection hidden="1"/>
    </xf>
    <xf numFmtId="3" fontId="37" fillId="5" borderId="96" xfId="0" applyNumberFormat="1" applyFont="1" applyFill="1" applyBorder="1" applyAlignment="1" applyProtection="1">
      <protection hidden="1"/>
    </xf>
    <xf numFmtId="3" fontId="37" fillId="5" borderId="121" xfId="0" applyNumberFormat="1" applyFont="1" applyFill="1" applyBorder="1" applyAlignment="1" applyProtection="1">
      <protection hidden="1"/>
    </xf>
    <xf numFmtId="3" fontId="37" fillId="5" borderId="122" xfId="0" applyNumberFormat="1" applyFont="1" applyFill="1" applyBorder="1" applyAlignment="1" applyProtection="1">
      <protection hidden="1"/>
    </xf>
    <xf numFmtId="9" fontId="37" fillId="5" borderId="72" xfId="0" applyNumberFormat="1" applyFont="1" applyFill="1" applyBorder="1" applyAlignment="1" applyProtection="1">
      <alignment horizontal="right"/>
      <protection hidden="1"/>
    </xf>
    <xf numFmtId="3" fontId="37" fillId="5" borderId="33" xfId="0" applyNumberFormat="1" applyFont="1" applyFill="1" applyBorder="1" applyAlignment="1" applyProtection="1">
      <protection hidden="1"/>
    </xf>
    <xf numFmtId="0" fontId="19" fillId="0" borderId="0" xfId="0" applyFont="1" applyAlignment="1" applyProtection="1">
      <alignment horizontal="center"/>
      <protection hidden="1"/>
    </xf>
    <xf numFmtId="9" fontId="15" fillId="0" borderId="0" xfId="0" applyNumberFormat="1" applyFont="1" applyAlignment="1" applyProtection="1">
      <alignment horizontal="right"/>
      <protection hidden="1"/>
    </xf>
    <xf numFmtId="0" fontId="5" fillId="0" borderId="45" xfId="0" applyNumberFormat="1" applyFont="1" applyFill="1" applyBorder="1" applyAlignment="1" applyProtection="1">
      <alignment horizontal="right"/>
      <protection hidden="1"/>
    </xf>
    <xf numFmtId="0" fontId="32" fillId="0" borderId="45" xfId="0" applyNumberFormat="1" applyFont="1" applyBorder="1" applyAlignment="1" applyProtection="1">
      <alignment horizontal="right"/>
      <protection hidden="1"/>
    </xf>
    <xf numFmtId="0" fontId="5" fillId="0" borderId="77" xfId="0" applyNumberFormat="1" applyFont="1" applyFill="1" applyBorder="1" applyAlignment="1" applyProtection="1">
      <alignment horizontal="right"/>
      <protection hidden="1"/>
    </xf>
    <xf numFmtId="0" fontId="5" fillId="0" borderId="53" xfId="0" applyNumberFormat="1" applyFont="1" applyFill="1" applyBorder="1" applyAlignment="1" applyProtection="1">
      <alignment horizontal="right"/>
      <protection hidden="1"/>
    </xf>
    <xf numFmtId="0" fontId="5" fillId="0" borderId="101" xfId="0" applyNumberFormat="1" applyFont="1" applyFill="1" applyBorder="1" applyAlignment="1" applyProtection="1">
      <alignment horizontal="right"/>
      <protection hidden="1"/>
    </xf>
    <xf numFmtId="0" fontId="5" fillId="0" borderId="70" xfId="0" applyFont="1" applyBorder="1" applyProtection="1">
      <protection hidden="1"/>
    </xf>
    <xf numFmtId="0" fontId="5" fillId="2" borderId="27" xfId="0" applyFont="1" applyFill="1" applyBorder="1" applyProtection="1">
      <protection locked="0"/>
    </xf>
    <xf numFmtId="0" fontId="15" fillId="0" borderId="50" xfId="0" applyFont="1" applyFill="1" applyBorder="1" applyProtection="1">
      <protection hidden="1"/>
    </xf>
    <xf numFmtId="0" fontId="15" fillId="0" borderId="42" xfId="0" applyFont="1" applyFill="1" applyBorder="1" applyProtection="1">
      <protection hidden="1"/>
    </xf>
    <xf numFmtId="0" fontId="15" fillId="0" borderId="67" xfId="0" applyFont="1" applyBorder="1" applyProtection="1">
      <protection hidden="1"/>
    </xf>
    <xf numFmtId="0" fontId="15" fillId="0" borderId="27" xfId="0" applyFont="1" applyFill="1" applyBorder="1" applyProtection="1">
      <protection hidden="1"/>
    </xf>
    <xf numFmtId="49" fontId="15" fillId="0" borderId="0" xfId="0" applyNumberFormat="1" applyFont="1" applyFill="1" applyBorder="1" applyProtection="1">
      <protection hidden="1"/>
    </xf>
    <xf numFmtId="49" fontId="15" fillId="0" borderId="70" xfId="0" applyNumberFormat="1" applyFont="1" applyFill="1" applyBorder="1" applyProtection="1">
      <protection hidden="1"/>
    </xf>
    <xf numFmtId="0" fontId="15" fillId="0" borderId="70" xfId="0" applyFont="1" applyFill="1" applyBorder="1" applyProtection="1">
      <protection hidden="1"/>
    </xf>
    <xf numFmtId="0" fontId="15" fillId="0" borderId="27" xfId="0" applyFont="1" applyBorder="1" applyProtection="1">
      <protection hidden="1"/>
    </xf>
    <xf numFmtId="0" fontId="15" fillId="0" borderId="70" xfId="0" applyFont="1" applyBorder="1" applyProtection="1">
      <protection hidden="1"/>
    </xf>
    <xf numFmtId="0" fontId="15" fillId="0" borderId="54" xfId="0" applyFont="1" applyBorder="1" applyProtection="1">
      <protection hidden="1"/>
    </xf>
    <xf numFmtId="0" fontId="15" fillId="0" borderId="57" xfId="0" applyFont="1" applyBorder="1" applyProtection="1">
      <protection hidden="1"/>
    </xf>
    <xf numFmtId="0" fontId="6" fillId="0" borderId="0" xfId="1" applyBorder="1" applyAlignment="1" applyProtection="1">
      <protection hidden="1"/>
    </xf>
    <xf numFmtId="0" fontId="17" fillId="0" borderId="0" xfId="0" applyFont="1" applyBorder="1" applyAlignment="1" applyProtection="1">
      <alignment horizontal="justify" vertical="top" wrapText="1"/>
      <protection hidden="1"/>
    </xf>
    <xf numFmtId="0" fontId="17" fillId="0" borderId="0" xfId="0" applyFont="1" applyBorder="1" applyAlignment="1" applyProtection="1">
      <alignment horizontal="justify" vertical="top"/>
      <protection hidden="1"/>
    </xf>
    <xf numFmtId="0" fontId="14" fillId="5" borderId="0" xfId="0" applyFont="1" applyFill="1" applyAlignment="1" applyProtection="1">
      <alignment horizontal="left"/>
      <protection hidden="1"/>
    </xf>
    <xf numFmtId="0" fontId="21" fillId="0" borderId="0" xfId="0" applyFont="1" applyBorder="1" applyAlignment="1" applyProtection="1">
      <alignment horizontal="center" textRotation="90"/>
      <protection hidden="1"/>
    </xf>
    <xf numFmtId="0" fontId="22" fillId="0" borderId="0" xfId="0" applyFont="1" applyBorder="1" applyAlignment="1">
      <alignment horizontal="center"/>
    </xf>
    <xf numFmtId="0" fontId="22" fillId="0" borderId="41" xfId="0" applyFont="1" applyBorder="1" applyAlignment="1">
      <alignment horizontal="center"/>
    </xf>
    <xf numFmtId="0" fontId="23" fillId="0" borderId="42" xfId="0" applyFont="1" applyBorder="1" applyAlignment="1" applyProtection="1">
      <alignment horizontal="center" textRotation="90"/>
      <protection hidden="1"/>
    </xf>
    <xf numFmtId="0" fontId="22" fillId="0" borderId="0" xfId="0" applyFont="1" applyBorder="1" applyAlignment="1" applyProtection="1">
      <alignment horizontal="center" textRotation="90"/>
      <protection hidden="1"/>
    </xf>
    <xf numFmtId="0" fontId="22" fillId="0" borderId="41" xfId="0" applyFont="1" applyBorder="1" applyAlignment="1" applyProtection="1">
      <alignment horizontal="center" textRotation="90"/>
      <protection hidden="1"/>
    </xf>
    <xf numFmtId="0" fontId="24" fillId="0" borderId="42" xfId="0" applyFont="1" applyBorder="1" applyAlignment="1" applyProtection="1">
      <alignment horizontal="center" textRotation="90" wrapText="1"/>
      <protection hidden="1"/>
    </xf>
    <xf numFmtId="0" fontId="16" fillId="0" borderId="0" xfId="0" applyFont="1" applyFill="1" applyBorder="1" applyAlignment="1" applyProtection="1">
      <alignment horizontal="left"/>
      <protection hidden="1"/>
    </xf>
    <xf numFmtId="0" fontId="17" fillId="0" borderId="0" xfId="0" applyFont="1" applyFill="1" applyBorder="1" applyAlignment="1" applyProtection="1">
      <alignment horizontal="justify" vertical="center"/>
      <protection hidden="1"/>
    </xf>
    <xf numFmtId="49" fontId="15" fillId="2" borderId="123" xfId="0" applyNumberFormat="1" applyFont="1" applyFill="1" applyBorder="1" applyAlignment="1" applyProtection="1">
      <alignment horizontal="left"/>
      <protection locked="0"/>
    </xf>
    <xf numFmtId="49" fontId="15" fillId="2" borderId="124" xfId="0" applyNumberFormat="1" applyFont="1" applyFill="1" applyBorder="1" applyAlignment="1" applyProtection="1">
      <alignment horizontal="left"/>
      <protection locked="0"/>
    </xf>
    <xf numFmtId="49" fontId="15" fillId="2" borderId="125" xfId="0" applyNumberFormat="1" applyFont="1" applyFill="1" applyBorder="1" applyAlignment="1" applyProtection="1">
      <alignment horizontal="left"/>
      <protection locked="0"/>
    </xf>
    <xf numFmtId="0" fontId="18" fillId="6" borderId="126" xfId="0" applyFont="1" applyFill="1" applyBorder="1" applyAlignment="1" applyProtection="1">
      <alignment vertical="center"/>
      <protection hidden="1"/>
    </xf>
    <xf numFmtId="0" fontId="15" fillId="2" borderId="127" xfId="0" applyFont="1" applyFill="1" applyBorder="1" applyAlignment="1" applyProtection="1">
      <alignment vertical="center"/>
      <protection locked="0"/>
    </xf>
    <xf numFmtId="0" fontId="15" fillId="2" borderId="128" xfId="0" applyFont="1" applyFill="1" applyBorder="1" applyAlignment="1" applyProtection="1">
      <alignment vertical="center"/>
      <protection locked="0"/>
    </xf>
    <xf numFmtId="0" fontId="15" fillId="2" borderId="129" xfId="0" applyFont="1" applyFill="1" applyBorder="1" applyAlignment="1" applyProtection="1">
      <alignment vertical="center"/>
      <protection locked="0"/>
    </xf>
    <xf numFmtId="0" fontId="18" fillId="6" borderId="130" xfId="0" applyFont="1" applyFill="1" applyBorder="1" applyAlignment="1" applyProtection="1">
      <protection hidden="1"/>
    </xf>
    <xf numFmtId="1" fontId="15" fillId="2" borderId="131" xfId="0" applyNumberFormat="1" applyFont="1" applyFill="1" applyBorder="1" applyAlignment="1" applyProtection="1">
      <alignment horizontal="left"/>
      <protection locked="0"/>
    </xf>
    <xf numFmtId="1" fontId="0" fillId="0" borderId="130" xfId="0" applyNumberFormat="1" applyBorder="1" applyProtection="1">
      <protection locked="0"/>
    </xf>
    <xf numFmtId="49" fontId="15" fillId="2" borderId="130" xfId="0" applyNumberFormat="1" applyFont="1" applyFill="1" applyBorder="1" applyAlignment="1" applyProtection="1">
      <alignment horizontal="left"/>
      <protection locked="0"/>
    </xf>
    <xf numFmtId="164" fontId="5" fillId="0" borderId="46" xfId="0" applyNumberFormat="1" applyFont="1" applyBorder="1" applyAlignment="1" applyProtection="1">
      <protection hidden="1"/>
    </xf>
    <xf numFmtId="0" fontId="5" fillId="0" borderId="46" xfId="0" applyFont="1" applyBorder="1" applyAlignment="1" applyProtection="1">
      <protection hidden="1"/>
    </xf>
    <xf numFmtId="164" fontId="32" fillId="0" borderId="51" xfId="2" applyNumberFormat="1" applyFont="1" applyBorder="1" applyAlignment="1" applyProtection="1">
      <protection hidden="1"/>
    </xf>
    <xf numFmtId="164" fontId="32" fillId="0" borderId="46" xfId="2" applyNumberFormat="1" applyFont="1" applyBorder="1" applyAlignment="1" applyProtection="1">
      <protection hidden="1"/>
    </xf>
    <xf numFmtId="0" fontId="19" fillId="0" borderId="43" xfId="0" applyFont="1" applyBorder="1" applyAlignment="1" applyProtection="1">
      <alignment horizontal="center"/>
      <protection hidden="1"/>
    </xf>
    <xf numFmtId="0" fontId="19" fillId="0" borderId="44" xfId="0" applyFont="1" applyBorder="1" applyAlignment="1" applyProtection="1">
      <alignment horizontal="center"/>
      <protection hidden="1"/>
    </xf>
    <xf numFmtId="0" fontId="19" fillId="0" borderId="53" xfId="0" applyFont="1" applyBorder="1" applyAlignment="1" applyProtection="1">
      <alignment horizontal="center"/>
      <protection hidden="1"/>
    </xf>
    <xf numFmtId="0" fontId="16" fillId="0" borderId="0" xfId="0" applyFont="1" applyFill="1" applyBorder="1" applyAlignment="1" applyProtection="1">
      <alignment horizontal="left" vertical="center"/>
      <protection hidden="1"/>
    </xf>
    <xf numFmtId="0" fontId="26" fillId="0" borderId="0" xfId="0" applyFont="1" applyAlignment="1" applyProtection="1">
      <alignment horizontal="left"/>
      <protection hidden="1"/>
    </xf>
    <xf numFmtId="164" fontId="5" fillId="0" borderId="51" xfId="0" applyNumberFormat="1" applyFont="1" applyBorder="1" applyAlignment="1" applyProtection="1">
      <protection hidden="1"/>
    </xf>
    <xf numFmtId="0" fontId="5" fillId="0" borderId="56" xfId="0" applyFont="1" applyBorder="1" applyAlignment="1" applyProtection="1">
      <protection hidden="1"/>
    </xf>
    <xf numFmtId="0" fontId="14" fillId="5" borderId="0" xfId="0" applyFont="1" applyFill="1" applyAlignment="1" applyProtection="1">
      <alignment vertical="center"/>
      <protection hidden="1"/>
    </xf>
    <xf numFmtId="164" fontId="5" fillId="2" borderId="65" xfId="0" applyNumberFormat="1" applyFont="1" applyFill="1" applyBorder="1" applyAlignment="1" applyProtection="1">
      <alignment horizontal="right"/>
      <protection locked="0"/>
    </xf>
    <xf numFmtId="164" fontId="5" fillId="2" borderId="64" xfId="0" applyNumberFormat="1" applyFont="1" applyFill="1" applyBorder="1" applyAlignment="1" applyProtection="1">
      <alignment horizontal="right"/>
      <protection locked="0"/>
    </xf>
    <xf numFmtId="164" fontId="5" fillId="2" borderId="54" xfId="0" applyNumberFormat="1" applyFont="1" applyFill="1" applyBorder="1" applyAlignment="1" applyProtection="1">
      <alignment horizontal="center"/>
      <protection locked="0"/>
    </xf>
    <xf numFmtId="164" fontId="5" fillId="2" borderId="57" xfId="0" applyNumberFormat="1" applyFont="1" applyFill="1" applyBorder="1" applyAlignment="1" applyProtection="1">
      <alignment horizontal="center"/>
      <protection locked="0"/>
    </xf>
    <xf numFmtId="164" fontId="5" fillId="2" borderId="63" xfId="0" applyNumberFormat="1" applyFont="1" applyFill="1" applyBorder="1" applyAlignment="1" applyProtection="1">
      <alignment horizontal="right"/>
      <protection locked="0"/>
    </xf>
    <xf numFmtId="164" fontId="5" fillId="2" borderId="0" xfId="0" applyNumberFormat="1" applyFont="1" applyFill="1" applyBorder="1" applyAlignment="1" applyProtection="1">
      <alignment horizontal="center"/>
      <protection locked="0"/>
    </xf>
    <xf numFmtId="164" fontId="5" fillId="2" borderId="70" xfId="0" applyNumberFormat="1" applyFont="1" applyFill="1" applyBorder="1" applyAlignment="1" applyProtection="1">
      <alignment horizontal="center"/>
      <protection locked="0"/>
    </xf>
    <xf numFmtId="164" fontId="5" fillId="2" borderId="27" xfId="0" applyNumberFormat="1" applyFont="1" applyFill="1" applyBorder="1" applyAlignment="1" applyProtection="1">
      <alignment horizontal="center"/>
      <protection locked="0"/>
    </xf>
    <xf numFmtId="0" fontId="30" fillId="5" borderId="44" xfId="0" applyNumberFormat="1" applyFont="1" applyFill="1" applyBorder="1" applyAlignment="1" applyProtection="1">
      <alignment horizontal="center"/>
      <protection hidden="1"/>
    </xf>
    <xf numFmtId="0" fontId="30" fillId="5" borderId="53" xfId="0" applyNumberFormat="1" applyFont="1" applyFill="1" applyBorder="1" applyAlignment="1" applyProtection="1">
      <alignment horizontal="center"/>
      <protection hidden="1"/>
    </xf>
    <xf numFmtId="0" fontId="30" fillId="5" borderId="43" xfId="0" applyNumberFormat="1" applyFont="1" applyFill="1" applyBorder="1" applyAlignment="1" applyProtection="1">
      <alignment horizontal="center"/>
      <protection hidden="1"/>
    </xf>
    <xf numFmtId="0" fontId="5" fillId="0" borderId="27" xfId="0" applyFont="1" applyBorder="1" applyAlignment="1" applyProtection="1">
      <alignment horizontal="left"/>
      <protection hidden="1"/>
    </xf>
    <xf numFmtId="0" fontId="5" fillId="0" borderId="70" xfId="0" applyFont="1" applyBorder="1" applyAlignment="1" applyProtection="1">
      <alignment horizontal="left"/>
      <protection hidden="1"/>
    </xf>
    <xf numFmtId="0" fontId="30" fillId="5" borderId="50" xfId="0" applyNumberFormat="1" applyFont="1" applyFill="1" applyBorder="1" applyAlignment="1" applyProtection="1">
      <alignment horizontal="center"/>
      <protection hidden="1"/>
    </xf>
    <xf numFmtId="0" fontId="30" fillId="5" borderId="67" xfId="0" applyNumberFormat="1" applyFont="1" applyFill="1" applyBorder="1" applyAlignment="1" applyProtection="1">
      <alignment horizontal="center"/>
      <protection hidden="1"/>
    </xf>
    <xf numFmtId="164" fontId="5" fillId="2" borderId="41" xfId="0" applyNumberFormat="1" applyFont="1" applyFill="1" applyBorder="1" applyAlignment="1" applyProtection="1">
      <alignment horizontal="center"/>
      <protection locked="0"/>
    </xf>
    <xf numFmtId="0" fontId="30" fillId="5" borderId="43" xfId="0" applyNumberFormat="1" applyFont="1" applyFill="1" applyBorder="1" applyAlignment="1" applyProtection="1">
      <alignment horizontal="left"/>
      <protection hidden="1"/>
    </xf>
    <xf numFmtId="0" fontId="30" fillId="5" borderId="53" xfId="0" applyNumberFormat="1" applyFont="1" applyFill="1" applyBorder="1" applyAlignment="1" applyProtection="1">
      <alignment horizontal="left"/>
      <protection hidden="1"/>
    </xf>
    <xf numFmtId="0" fontId="31" fillId="5" borderId="50" xfId="0" applyNumberFormat="1" applyFont="1" applyFill="1" applyBorder="1" applyAlignment="1" applyProtection="1">
      <alignment horizontal="left"/>
      <protection hidden="1"/>
    </xf>
    <xf numFmtId="0" fontId="31" fillId="5" borderId="67" xfId="0" applyNumberFormat="1" applyFont="1" applyFill="1" applyBorder="1" applyAlignment="1" applyProtection="1">
      <alignment horizontal="left"/>
      <protection hidden="1"/>
    </xf>
    <xf numFmtId="49" fontId="31" fillId="5" borderId="43" xfId="0" applyNumberFormat="1" applyFont="1" applyFill="1" applyBorder="1" applyAlignment="1" applyProtection="1">
      <alignment horizontal="left"/>
      <protection hidden="1"/>
    </xf>
    <xf numFmtId="49" fontId="31" fillId="5" borderId="53" xfId="0" applyNumberFormat="1" applyFont="1" applyFill="1" applyBorder="1" applyAlignment="1" applyProtection="1">
      <alignment horizontal="left"/>
      <protection hidden="1"/>
    </xf>
    <xf numFmtId="0" fontId="30" fillId="5" borderId="50" xfId="0" applyNumberFormat="1" applyFont="1" applyFill="1" applyBorder="1" applyAlignment="1" applyProtection="1">
      <alignment horizontal="left"/>
      <protection hidden="1"/>
    </xf>
    <xf numFmtId="0" fontId="30" fillId="5" borderId="42" xfId="0" applyNumberFormat="1" applyFont="1" applyFill="1" applyBorder="1" applyAlignment="1" applyProtection="1">
      <alignment horizontal="left"/>
      <protection hidden="1"/>
    </xf>
    <xf numFmtId="0" fontId="30" fillId="5" borderId="42" xfId="0" applyNumberFormat="1" applyFont="1" applyFill="1" applyBorder="1" applyAlignment="1" applyProtection="1">
      <alignment horizontal="center"/>
      <protection hidden="1"/>
    </xf>
    <xf numFmtId="0" fontId="5" fillId="0" borderId="132" xfId="0" applyFont="1" applyBorder="1" applyAlignment="1" applyProtection="1">
      <alignment horizontal="left"/>
      <protection hidden="1"/>
    </xf>
    <xf numFmtId="0" fontId="5" fillId="0" borderId="76" xfId="0" applyFont="1" applyBorder="1" applyAlignment="1" applyProtection="1">
      <alignment horizontal="left"/>
      <protection hidden="1"/>
    </xf>
    <xf numFmtId="0" fontId="5" fillId="0" borderId="133" xfId="0" applyFont="1" applyBorder="1" applyAlignment="1" applyProtection="1">
      <alignment horizontal="left"/>
      <protection hidden="1"/>
    </xf>
    <xf numFmtId="0" fontId="5" fillId="0" borderId="134" xfId="0" applyFont="1" applyBorder="1" applyAlignment="1" applyProtection="1">
      <alignment horizontal="left"/>
      <protection hidden="1"/>
    </xf>
    <xf numFmtId="0" fontId="38" fillId="0" borderId="135" xfId="0" applyFont="1" applyBorder="1" applyAlignment="1" applyProtection="1">
      <alignment horizontal="left"/>
      <protection hidden="1"/>
    </xf>
    <xf numFmtId="0" fontId="38" fillId="0" borderId="136" xfId="0" applyFont="1" applyBorder="1" applyAlignment="1" applyProtection="1">
      <alignment horizontal="left"/>
      <protection hidden="1"/>
    </xf>
    <xf numFmtId="0" fontId="7" fillId="3" borderId="43" xfId="0" applyFont="1" applyFill="1" applyBorder="1" applyAlignment="1" applyProtection="1">
      <alignment horizontal="left"/>
      <protection hidden="1"/>
    </xf>
    <xf numFmtId="0" fontId="7" fillId="3" borderId="53" xfId="0" applyFont="1" applyFill="1" applyBorder="1" applyAlignment="1" applyProtection="1">
      <alignment horizontal="left"/>
      <protection hidden="1"/>
    </xf>
    <xf numFmtId="0" fontId="7" fillId="3" borderId="27" xfId="0" applyFont="1" applyFill="1" applyBorder="1" applyAlignment="1" applyProtection="1">
      <alignment horizontal="left"/>
      <protection hidden="1"/>
    </xf>
    <xf numFmtId="0" fontId="7" fillId="3" borderId="70" xfId="0" applyFont="1" applyFill="1" applyBorder="1" applyAlignment="1" applyProtection="1">
      <alignment horizontal="left"/>
      <protection hidden="1"/>
    </xf>
    <xf numFmtId="0" fontId="5" fillId="0" borderId="54" xfId="0" applyFont="1" applyBorder="1" applyAlignment="1" applyProtection="1">
      <alignment horizontal="left"/>
      <protection hidden="1"/>
    </xf>
    <xf numFmtId="0" fontId="5" fillId="0" borderId="57" xfId="0" applyFont="1" applyBorder="1" applyAlignment="1" applyProtection="1">
      <alignment horizontal="left"/>
      <protection hidden="1"/>
    </xf>
    <xf numFmtId="0" fontId="7" fillId="3" borderId="27" xfId="0" applyFont="1" applyFill="1" applyBorder="1" applyAlignment="1" applyProtection="1">
      <alignment horizontal="left" wrapText="1"/>
      <protection hidden="1"/>
    </xf>
    <xf numFmtId="0" fontId="7" fillId="3" borderId="70" xfId="0" applyFont="1" applyFill="1" applyBorder="1" applyAlignment="1" applyProtection="1">
      <alignment horizontal="left" wrapText="1"/>
      <protection hidden="1"/>
    </xf>
    <xf numFmtId="0" fontId="30" fillId="5" borderId="0" xfId="0" applyNumberFormat="1" applyFont="1" applyFill="1" applyBorder="1" applyAlignment="1" applyProtection="1">
      <alignment horizontal="center"/>
      <protection hidden="1"/>
    </xf>
    <xf numFmtId="0" fontId="7" fillId="0" borderId="43" xfId="0" applyFont="1" applyBorder="1" applyAlignment="1" applyProtection="1">
      <alignment horizontal="center"/>
      <protection hidden="1"/>
    </xf>
    <xf numFmtId="0" fontId="7" fillId="0" borderId="44" xfId="0" applyFont="1" applyBorder="1" applyAlignment="1" applyProtection="1">
      <alignment horizontal="center"/>
      <protection hidden="1"/>
    </xf>
    <xf numFmtId="0" fontId="7" fillId="0" borderId="53" xfId="0" applyFont="1" applyBorder="1" applyAlignment="1" applyProtection="1">
      <alignment horizontal="center"/>
      <protection hidden="1"/>
    </xf>
    <xf numFmtId="164" fontId="5" fillId="0" borderId="91" xfId="0" applyNumberFormat="1" applyFont="1" applyBorder="1" applyAlignment="1" applyProtection="1">
      <protection hidden="1"/>
    </xf>
    <xf numFmtId="0" fontId="5" fillId="0" borderId="91" xfId="0" applyFont="1" applyBorder="1" applyAlignment="1" applyProtection="1">
      <protection hidden="1"/>
    </xf>
    <xf numFmtId="164" fontId="32" fillId="0" borderId="91" xfId="2" applyNumberFormat="1" applyFont="1" applyBorder="1" applyAlignment="1" applyProtection="1">
      <protection hidden="1"/>
    </xf>
    <xf numFmtId="0" fontId="7" fillId="0" borderId="43" xfId="0" applyNumberFormat="1" applyFont="1" applyBorder="1" applyAlignment="1" applyProtection="1">
      <alignment horizontal="center"/>
      <protection hidden="1"/>
    </xf>
    <xf numFmtId="0" fontId="7" fillId="0" borderId="44" xfId="0" applyNumberFormat="1" applyFont="1" applyBorder="1" applyAlignment="1" applyProtection="1">
      <alignment horizontal="center"/>
      <protection hidden="1"/>
    </xf>
    <xf numFmtId="0" fontId="7" fillId="0" borderId="53" xfId="0" applyNumberFormat="1" applyFont="1" applyBorder="1" applyAlignment="1" applyProtection="1">
      <alignment horizontal="center"/>
      <protection hidden="1"/>
    </xf>
    <xf numFmtId="0" fontId="31" fillId="5" borderId="44" xfId="0" applyFont="1" applyFill="1" applyBorder="1" applyAlignment="1" applyProtection="1">
      <protection hidden="1"/>
    </xf>
    <xf numFmtId="0" fontId="31" fillId="5" borderId="78" xfId="0" applyFont="1" applyFill="1" applyBorder="1" applyAlignment="1" applyProtection="1">
      <protection hidden="1"/>
    </xf>
    <xf numFmtId="0" fontId="5" fillId="0" borderId="42" xfId="0" applyFont="1" applyFill="1" applyBorder="1" applyAlignment="1" applyProtection="1">
      <protection hidden="1"/>
    </xf>
    <xf numFmtId="0" fontId="5" fillId="0" borderId="106" xfId="0" applyFont="1" applyFill="1" applyBorder="1" applyAlignment="1" applyProtection="1">
      <protection hidden="1"/>
    </xf>
    <xf numFmtId="0" fontId="37" fillId="5" borderId="137" xfId="0" applyFont="1" applyFill="1" applyBorder="1" applyAlignment="1" applyProtection="1">
      <protection hidden="1"/>
    </xf>
    <xf numFmtId="0" fontId="37" fillId="5" borderId="72" xfId="0" applyFont="1" applyFill="1" applyBorder="1" applyAlignment="1" applyProtection="1">
      <protection hidden="1"/>
    </xf>
    <xf numFmtId="0" fontId="5" fillId="0" borderId="138" xfId="0" applyFont="1" applyFill="1" applyBorder="1" applyAlignment="1" applyProtection="1">
      <protection hidden="1"/>
    </xf>
    <xf numFmtId="0" fontId="5" fillId="0" borderId="12" xfId="0" applyFont="1" applyFill="1" applyBorder="1" applyAlignment="1" applyProtection="1">
      <protection hidden="1"/>
    </xf>
    <xf numFmtId="0" fontId="5" fillId="3" borderId="44" xfId="0" applyFont="1" applyFill="1" applyBorder="1" applyAlignment="1" applyProtection="1">
      <protection hidden="1"/>
    </xf>
    <xf numFmtId="0" fontId="5" fillId="3" borderId="78" xfId="0" applyFont="1" applyFill="1" applyBorder="1" applyAlignment="1" applyProtection="1">
      <protection hidden="1"/>
    </xf>
    <xf numFmtId="0" fontId="5" fillId="0" borderId="0" xfId="0" applyFont="1" applyFill="1" applyBorder="1" applyAlignment="1" applyProtection="1">
      <protection hidden="1"/>
    </xf>
    <xf numFmtId="0" fontId="5" fillId="0" borderId="31" xfId="0" applyFont="1" applyFill="1" applyBorder="1" applyAlignment="1" applyProtection="1">
      <protection hidden="1"/>
    </xf>
    <xf numFmtId="0" fontId="5" fillId="2" borderId="138" xfId="0" applyFont="1" applyFill="1" applyBorder="1" applyAlignment="1" applyProtection="1">
      <protection locked="0" hidden="1"/>
    </xf>
    <xf numFmtId="0" fontId="5" fillId="2" borderId="12" xfId="0" applyFont="1" applyFill="1" applyBorder="1" applyAlignment="1" applyProtection="1">
      <protection locked="0" hidden="1"/>
    </xf>
    <xf numFmtId="0" fontId="14" fillId="5" borderId="0" xfId="0" applyFont="1" applyFill="1" applyAlignment="1" applyProtection="1">
      <alignment horizontal="left" vertical="center"/>
      <protection hidden="1"/>
    </xf>
    <xf numFmtId="0" fontId="5" fillId="2" borderId="139" xfId="0" applyFont="1" applyFill="1" applyBorder="1" applyAlignment="1" applyProtection="1">
      <alignment horizontal="left"/>
      <protection locked="0" hidden="1"/>
    </xf>
    <xf numFmtId="0" fontId="5" fillId="2" borderId="39" xfId="0" applyFont="1" applyFill="1" applyBorder="1" applyAlignment="1" applyProtection="1">
      <alignment horizontal="left"/>
      <protection locked="0" hidden="1"/>
    </xf>
    <xf numFmtId="49" fontId="5" fillId="2" borderId="140" xfId="0" applyNumberFormat="1" applyFont="1" applyFill="1" applyBorder="1" applyAlignment="1" applyProtection="1">
      <alignment horizontal="left"/>
      <protection locked="0" hidden="1"/>
    </xf>
    <xf numFmtId="49" fontId="5" fillId="2" borderId="17" xfId="0" applyNumberFormat="1" applyFont="1" applyFill="1" applyBorder="1" applyAlignment="1" applyProtection="1">
      <alignment horizontal="left"/>
      <protection locked="0" hidden="1"/>
    </xf>
    <xf numFmtId="0" fontId="5" fillId="2" borderId="0" xfId="0" applyFont="1" applyFill="1" applyBorder="1" applyAlignment="1" applyProtection="1">
      <protection locked="0"/>
    </xf>
    <xf numFmtId="0" fontId="5" fillId="2" borderId="31" xfId="0" applyFont="1" applyFill="1" applyBorder="1" applyAlignment="1" applyProtection="1">
      <protection locked="0"/>
    </xf>
    <xf numFmtId="0" fontId="5" fillId="4" borderId="44" xfId="0" applyFont="1" applyFill="1" applyBorder="1" applyAlignment="1" applyProtection="1">
      <protection hidden="1"/>
    </xf>
    <xf numFmtId="0" fontId="5" fillId="4" borderId="78" xfId="0" applyFont="1" applyFill="1" applyBorder="1" applyAlignment="1" applyProtection="1">
      <protection hidden="1"/>
    </xf>
    <xf numFmtId="0" fontId="5" fillId="0" borderId="138" xfId="0" applyFont="1" applyFill="1" applyBorder="1" applyAlignment="1" applyProtection="1">
      <alignment horizontal="left"/>
      <protection hidden="1"/>
    </xf>
    <xf numFmtId="0" fontId="5" fillId="0" borderId="12" xfId="0" applyFont="1" applyFill="1" applyBorder="1" applyAlignment="1" applyProtection="1">
      <alignment horizontal="left"/>
      <protection hidden="1"/>
    </xf>
    <xf numFmtId="0" fontId="5" fillId="2" borderId="138" xfId="0" applyFont="1" applyFill="1" applyBorder="1" applyAlignment="1" applyProtection="1">
      <alignment horizontal="left"/>
      <protection locked="0" hidden="1"/>
    </xf>
    <xf numFmtId="0" fontId="5" fillId="2" borderId="12" xfId="0" applyFont="1" applyFill="1" applyBorder="1" applyAlignment="1" applyProtection="1">
      <alignment horizontal="left"/>
      <protection locked="0" hidden="1"/>
    </xf>
    <xf numFmtId="0" fontId="5" fillId="0" borderId="141" xfId="0" applyFont="1" applyFill="1" applyBorder="1" applyAlignment="1" applyProtection="1">
      <alignment horizontal="left"/>
      <protection locked="0" hidden="1"/>
    </xf>
    <xf numFmtId="0" fontId="5" fillId="0" borderId="24" xfId="0" applyFont="1" applyFill="1" applyBorder="1" applyAlignment="1" applyProtection="1">
      <alignment horizontal="left"/>
      <protection locked="0" hidden="1"/>
    </xf>
    <xf numFmtId="167" fontId="5" fillId="0" borderId="142" xfId="0" applyNumberFormat="1" applyFont="1" applyFill="1" applyBorder="1" applyAlignment="1" applyProtection="1">
      <alignment horizontal="left"/>
      <protection hidden="1"/>
    </xf>
    <xf numFmtId="0" fontId="5" fillId="0" borderId="109" xfId="0" applyFont="1" applyBorder="1" applyAlignment="1" applyProtection="1">
      <alignment horizontal="left"/>
      <protection hidden="1"/>
    </xf>
    <xf numFmtId="49" fontId="10" fillId="0" borderId="50" xfId="0" applyNumberFormat="1" applyFont="1" applyBorder="1" applyAlignment="1" applyProtection="1">
      <protection hidden="1"/>
    </xf>
    <xf numFmtId="0" fontId="10" fillId="0" borderId="42" xfId="0" applyFont="1" applyBorder="1" applyAlignment="1" applyProtection="1">
      <protection hidden="1"/>
    </xf>
    <xf numFmtId="0" fontId="10" fillId="0" borderId="106" xfId="0" applyFont="1" applyBorder="1" applyAlignment="1" applyProtection="1">
      <protection hidden="1"/>
    </xf>
    <xf numFmtId="0" fontId="10" fillId="0" borderId="27" xfId="0" applyFont="1" applyBorder="1" applyAlignment="1" applyProtection="1">
      <protection hidden="1"/>
    </xf>
    <xf numFmtId="0" fontId="10" fillId="0" borderId="0" xfId="0" applyFont="1" applyBorder="1" applyAlignment="1" applyProtection="1">
      <protection hidden="1"/>
    </xf>
    <xf numFmtId="0" fontId="10" fillId="0" borderId="31" xfId="0" applyFont="1" applyBorder="1" applyAlignment="1" applyProtection="1">
      <protection hidden="1"/>
    </xf>
    <xf numFmtId="0" fontId="5" fillId="0" borderId="142" xfId="0" applyFont="1" applyFill="1" applyBorder="1" applyAlignment="1" applyProtection="1">
      <protection hidden="1"/>
    </xf>
    <xf numFmtId="0" fontId="5" fillId="0" borderId="143" xfId="0" applyFont="1" applyFill="1" applyBorder="1" applyAlignment="1" applyProtection="1">
      <protection hidden="1"/>
    </xf>
    <xf numFmtId="0" fontId="5" fillId="0" borderId="109" xfId="0" applyFont="1" applyBorder="1" applyAlignment="1" applyProtection="1">
      <protection hidden="1"/>
    </xf>
    <xf numFmtId="0" fontId="5" fillId="0" borderId="144" xfId="0" applyFont="1" applyBorder="1" applyAlignment="1" applyProtection="1">
      <alignment horizontal="left"/>
      <protection hidden="1"/>
    </xf>
  </cellXfs>
  <cellStyles count="3">
    <cellStyle name="Link" xfId="1" builtinId="8"/>
    <cellStyle name="Prozent" xfId="2" builtinId="5"/>
    <cellStyle name="Standard" xfId="0" builtinId="0"/>
  </cellStyles>
  <dxfs count="12">
    <dxf>
      <font>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border>
        <bottom style="thin">
          <color indexed="22"/>
        </bottom>
      </border>
    </dxf>
    <dxf>
      <font>
        <condense val="0"/>
        <extend val="0"/>
        <color indexed="9"/>
      </font>
      <fill>
        <patternFill>
          <bgColor indexed="9"/>
        </patternFill>
      </fill>
      <border>
        <top style="thin">
          <color indexed="9"/>
        </top>
        <bottom style="thin">
          <color indexed="22"/>
        </bottom>
      </border>
    </dxf>
    <dxf>
      <font>
        <condense val="0"/>
        <extend val="0"/>
        <color indexed="9"/>
      </font>
      <fill>
        <patternFill>
          <bgColor indexed="9"/>
        </patternFill>
      </fill>
      <border>
        <bottom style="thin">
          <color indexed="22"/>
        </bottom>
      </border>
    </dxf>
    <dxf>
      <font>
        <condense val="0"/>
        <extend val="0"/>
        <color indexed="9"/>
      </font>
      <fill>
        <patternFill>
          <bgColor indexed="9"/>
        </patternFill>
      </fill>
      <border>
        <top style="thin">
          <color indexed="9"/>
        </top>
        <bottom style="thin">
          <color indexed="22"/>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101"/>
      <rgbColor rgb="0000FF00"/>
      <rgbColor rgb="000000FF"/>
      <rgbColor rgb="00FFFF00"/>
      <rgbColor rgb="0085BA0C"/>
      <rgbColor rgb="0060B6DE"/>
      <rgbColor rgb="00F7AF67"/>
      <rgbColor rgb="00008000"/>
      <rgbColor rgb="000064AA"/>
      <rgbColor rgb="00808000"/>
      <rgbColor rgb="009F9F9F"/>
      <rgbColor rgb="000093D1"/>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8EEF7"/>
      <rgbColor rgb="00CCFFCC"/>
      <rgbColor rgb="00FFFF99"/>
      <rgbColor rgb="0099CCFF"/>
      <rgbColor rgb="00ED7314"/>
      <rgbColor rgb="00F3F3F3"/>
      <rgbColor rgb="00FFCC99"/>
      <rgbColor rgb="003366FF"/>
      <rgbColor rgb="0057B7DC"/>
      <rgbColor rgb="0099CC00"/>
      <rgbColor rgb="00FFCC00"/>
      <rgbColor rgb="00FF9900"/>
      <rgbColor rgb="00FF6600"/>
      <rgbColor rgb="005E5E5E"/>
      <rgbColor rgb="00969696"/>
      <rgbColor rgb="00003366"/>
      <rgbColor rgb="00339966"/>
      <rgbColor rgb="00003300"/>
      <rgbColor rgb="00333300"/>
      <rgbColor rgb="00993300"/>
      <rgbColor rgb="00E5E5E5"/>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22" fmlaLink="$J$8" fmlaRange="$G$2:$H$3" noThreeD="1" sel="1" val="0"/>
</file>

<file path=xl/drawings/_rels/drawing2.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3.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4.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5.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6.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7.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8.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9.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0.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1.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2.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_rels/drawing13.xml.rels><?xml version="1.0" encoding="UTF-8" standalone="yes"?>
<Relationships xmlns="http://schemas.openxmlformats.org/package/2006/relationships"><Relationship Id="rId8" Type="http://schemas.openxmlformats.org/officeDocument/2006/relationships/hyperlink" Target="#'Output Planbilanz'!A1"/><Relationship Id="rId13" Type="http://schemas.openxmlformats.org/officeDocument/2006/relationships/hyperlink" Target="#'Input Gesch&#228;ftsgang'!A1"/><Relationship Id="rId3" Type="http://schemas.openxmlformats.org/officeDocument/2006/relationships/hyperlink" Target="#'Liquidit&#228;tsplan Jahr 1'!A1"/><Relationship Id="rId7" Type="http://schemas.openxmlformats.org/officeDocument/2006/relationships/hyperlink" Target="#'Liquidit&#228;tsplan Jahr 5'!A1"/><Relationship Id="rId12" Type="http://schemas.openxmlformats.org/officeDocument/2006/relationships/hyperlink" Target="#'Input Er&#246;ffnungsbilanz'!A1"/><Relationship Id="rId2" Type="http://schemas.openxmlformats.org/officeDocument/2006/relationships/image" Target="../media/image1.png"/><Relationship Id="rId1" Type="http://schemas.openxmlformats.org/officeDocument/2006/relationships/hyperlink" Target="#Haupt&#252;bersicht!A1"/><Relationship Id="rId6" Type="http://schemas.openxmlformats.org/officeDocument/2006/relationships/hyperlink" Target="#'Liquidit&#228;tsplan Jahr 4'!A1"/><Relationship Id="rId11" Type="http://schemas.openxmlformats.org/officeDocument/2006/relationships/hyperlink" Target="#'Output Kennzahlen'!A1"/><Relationship Id="rId5" Type="http://schemas.openxmlformats.org/officeDocument/2006/relationships/hyperlink" Target="#'Liquidit&#228;tsplan Jahr 3'!A1"/><Relationship Id="rId10" Type="http://schemas.openxmlformats.org/officeDocument/2006/relationships/hyperlink" Target="#'Output Mittelflussrechnung'!A1"/><Relationship Id="rId4" Type="http://schemas.openxmlformats.org/officeDocument/2006/relationships/hyperlink" Target="#'Liquidit&#228;tsplan Jahr 2'!A1"/><Relationship Id="rId9" Type="http://schemas.openxmlformats.org/officeDocument/2006/relationships/hyperlink" Target="#'Output Planerfolgsrechnung'!A1"/><Relationship Id="rId14" Type="http://schemas.openxmlformats.org/officeDocument/2006/relationships/hyperlink" Target="#'Input Finanzierung'!A1"/></Relationships>
</file>

<file path=xl/drawings/drawing1.xml><?xml version="1.0" encoding="utf-8"?>
<xdr:wsDr xmlns:xdr="http://schemas.openxmlformats.org/drawingml/2006/spreadsheetDrawing" xmlns:a="http://schemas.openxmlformats.org/drawingml/2006/main">
  <xdr:oneCellAnchor>
    <xdr:from>
      <xdr:col>2</xdr:col>
      <xdr:colOff>0</xdr:colOff>
      <xdr:row>21</xdr:row>
      <xdr:rowOff>117475</xdr:rowOff>
    </xdr:from>
    <xdr:ext cx="339837" cy="600164"/>
    <xdr:sp macro="" textlink="">
      <xdr:nvSpPr>
        <xdr:cNvPr id="2059" name="Text Box 11">
          <a:extLst>
            <a:ext uri="{FF2B5EF4-FFF2-40B4-BE49-F238E27FC236}">
              <a16:creationId xmlns:a16="http://schemas.microsoft.com/office/drawing/2014/main" id="{00000000-0008-0000-0000-00000B080000}"/>
            </a:ext>
          </a:extLst>
        </xdr:cNvPr>
        <xdr:cNvSpPr txBox="1">
          <a:spLocks noChangeArrowheads="1"/>
        </xdr:cNvSpPr>
      </xdr:nvSpPr>
      <xdr:spPr bwMode="auto">
        <a:xfrm>
          <a:off x="798635" y="3312013"/>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64AA"/>
              </a:solidFill>
              <a:latin typeface="Arial"/>
              <a:cs typeface="Arial"/>
            </a:rPr>
            <a:t>1</a:t>
          </a:r>
        </a:p>
      </xdr:txBody>
    </xdr:sp>
    <xdr:clientData/>
  </xdr:oneCellAnchor>
  <xdr:oneCellAnchor>
    <xdr:from>
      <xdr:col>2</xdr:col>
      <xdr:colOff>0</xdr:colOff>
      <xdr:row>34</xdr:row>
      <xdr:rowOff>0</xdr:rowOff>
    </xdr:from>
    <xdr:ext cx="339837" cy="600164"/>
    <xdr:sp macro="" textlink="">
      <xdr:nvSpPr>
        <xdr:cNvPr id="2060" name="Text Box 12">
          <a:extLst>
            <a:ext uri="{FF2B5EF4-FFF2-40B4-BE49-F238E27FC236}">
              <a16:creationId xmlns:a16="http://schemas.microsoft.com/office/drawing/2014/main" id="{00000000-0008-0000-0000-00000C080000}"/>
            </a:ext>
          </a:extLst>
        </xdr:cNvPr>
        <xdr:cNvSpPr txBox="1">
          <a:spLocks noChangeArrowheads="1"/>
        </xdr:cNvSpPr>
      </xdr:nvSpPr>
      <xdr:spPr bwMode="auto">
        <a:xfrm>
          <a:off x="798635" y="794238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7</a:t>
          </a:r>
        </a:p>
      </xdr:txBody>
    </xdr:sp>
    <xdr:clientData/>
  </xdr:oneCellAnchor>
  <xdr:oneCellAnchor>
    <xdr:from>
      <xdr:col>2</xdr:col>
      <xdr:colOff>0</xdr:colOff>
      <xdr:row>32</xdr:row>
      <xdr:rowOff>0</xdr:rowOff>
    </xdr:from>
    <xdr:ext cx="339837" cy="600164"/>
    <xdr:sp macro="" textlink="">
      <xdr:nvSpPr>
        <xdr:cNvPr id="2061" name="Text Box 13">
          <a:extLst>
            <a:ext uri="{FF2B5EF4-FFF2-40B4-BE49-F238E27FC236}">
              <a16:creationId xmlns:a16="http://schemas.microsoft.com/office/drawing/2014/main" id="{00000000-0008-0000-0000-00000D080000}"/>
            </a:ext>
          </a:extLst>
        </xdr:cNvPr>
        <xdr:cNvSpPr txBox="1">
          <a:spLocks noChangeArrowheads="1"/>
        </xdr:cNvSpPr>
      </xdr:nvSpPr>
      <xdr:spPr bwMode="auto">
        <a:xfrm>
          <a:off x="798635" y="7187712"/>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6</a:t>
          </a:r>
        </a:p>
      </xdr:txBody>
    </xdr:sp>
    <xdr:clientData/>
  </xdr:oneCellAnchor>
  <xdr:oneCellAnchor>
    <xdr:from>
      <xdr:col>2</xdr:col>
      <xdr:colOff>0</xdr:colOff>
      <xdr:row>29</xdr:row>
      <xdr:rowOff>630115</xdr:rowOff>
    </xdr:from>
    <xdr:ext cx="339837" cy="600164"/>
    <xdr:sp macro="" textlink="">
      <xdr:nvSpPr>
        <xdr:cNvPr id="2062" name="Text Box 14">
          <a:extLst>
            <a:ext uri="{FF2B5EF4-FFF2-40B4-BE49-F238E27FC236}">
              <a16:creationId xmlns:a16="http://schemas.microsoft.com/office/drawing/2014/main" id="{00000000-0008-0000-0000-00000E080000}"/>
            </a:ext>
          </a:extLst>
        </xdr:cNvPr>
        <xdr:cNvSpPr txBox="1">
          <a:spLocks noChangeArrowheads="1"/>
        </xdr:cNvSpPr>
      </xdr:nvSpPr>
      <xdr:spPr bwMode="auto">
        <a:xfrm>
          <a:off x="798635" y="6433038"/>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5</a:t>
          </a:r>
        </a:p>
      </xdr:txBody>
    </xdr:sp>
    <xdr:clientData/>
  </xdr:oneCellAnchor>
  <xdr:oneCellAnchor>
    <xdr:from>
      <xdr:col>2</xdr:col>
      <xdr:colOff>0</xdr:colOff>
      <xdr:row>23</xdr:row>
      <xdr:rowOff>0</xdr:rowOff>
    </xdr:from>
    <xdr:ext cx="339837" cy="600164"/>
    <xdr:sp macro="" textlink="">
      <xdr:nvSpPr>
        <xdr:cNvPr id="2063" name="Text Box 15">
          <a:extLst>
            <a:ext uri="{FF2B5EF4-FFF2-40B4-BE49-F238E27FC236}">
              <a16:creationId xmlns:a16="http://schemas.microsoft.com/office/drawing/2014/main" id="{00000000-0008-0000-0000-00000F080000}"/>
            </a:ext>
          </a:extLst>
        </xdr:cNvPr>
        <xdr:cNvSpPr txBox="1">
          <a:spLocks noChangeArrowheads="1"/>
        </xdr:cNvSpPr>
      </xdr:nvSpPr>
      <xdr:spPr bwMode="auto">
        <a:xfrm>
          <a:off x="798635" y="4044462"/>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64AA"/>
              </a:solidFill>
              <a:latin typeface="Arial"/>
              <a:cs typeface="Arial"/>
            </a:rPr>
            <a:t>2</a:t>
          </a:r>
        </a:p>
      </xdr:txBody>
    </xdr:sp>
    <xdr:clientData/>
  </xdr:oneCellAnchor>
  <xdr:oneCellAnchor>
    <xdr:from>
      <xdr:col>2</xdr:col>
      <xdr:colOff>0</xdr:colOff>
      <xdr:row>28</xdr:row>
      <xdr:rowOff>63500</xdr:rowOff>
    </xdr:from>
    <xdr:ext cx="339837" cy="600164"/>
    <xdr:sp macro="" textlink="">
      <xdr:nvSpPr>
        <xdr:cNvPr id="2064" name="Text Box 16">
          <a:extLst>
            <a:ext uri="{FF2B5EF4-FFF2-40B4-BE49-F238E27FC236}">
              <a16:creationId xmlns:a16="http://schemas.microsoft.com/office/drawing/2014/main" id="{00000000-0008-0000-0000-000010080000}"/>
            </a:ext>
          </a:extLst>
        </xdr:cNvPr>
        <xdr:cNvSpPr txBox="1">
          <a:spLocks noChangeArrowheads="1"/>
        </xdr:cNvSpPr>
      </xdr:nvSpPr>
      <xdr:spPr bwMode="auto">
        <a:xfrm>
          <a:off x="798635" y="574186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93D1"/>
              </a:solidFill>
              <a:latin typeface="Arial"/>
              <a:cs typeface="Arial"/>
            </a:rPr>
            <a:t>4</a:t>
          </a:r>
        </a:p>
      </xdr:txBody>
    </xdr:sp>
    <xdr:clientData/>
  </xdr:oneCellAnchor>
  <xdr:oneCellAnchor>
    <xdr:from>
      <xdr:col>2</xdr:col>
      <xdr:colOff>0</xdr:colOff>
      <xdr:row>25</xdr:row>
      <xdr:rowOff>0</xdr:rowOff>
    </xdr:from>
    <xdr:ext cx="339837" cy="600164"/>
    <xdr:sp macro="" textlink="">
      <xdr:nvSpPr>
        <xdr:cNvPr id="2065" name="Text Box 17">
          <a:extLst>
            <a:ext uri="{FF2B5EF4-FFF2-40B4-BE49-F238E27FC236}">
              <a16:creationId xmlns:a16="http://schemas.microsoft.com/office/drawing/2014/main" id="{00000000-0008-0000-0000-000011080000}"/>
            </a:ext>
          </a:extLst>
        </xdr:cNvPr>
        <xdr:cNvSpPr txBox="1">
          <a:spLocks noChangeArrowheads="1"/>
        </xdr:cNvSpPr>
      </xdr:nvSpPr>
      <xdr:spPr bwMode="auto">
        <a:xfrm>
          <a:off x="798635" y="479913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0064AA"/>
              </a:solidFill>
              <a:latin typeface="Arial"/>
              <a:cs typeface="Arial"/>
            </a:rPr>
            <a:t>3</a:t>
          </a:r>
        </a:p>
      </xdr:txBody>
    </xdr:sp>
    <xdr:clientData/>
  </xdr:oneCellAnchor>
  <xdr:oneCellAnchor>
    <xdr:from>
      <xdr:col>2</xdr:col>
      <xdr:colOff>0</xdr:colOff>
      <xdr:row>37</xdr:row>
      <xdr:rowOff>0</xdr:rowOff>
    </xdr:from>
    <xdr:ext cx="339837" cy="600164"/>
    <xdr:sp macro="" textlink="">
      <xdr:nvSpPr>
        <xdr:cNvPr id="2066" name="Text Box 18">
          <a:extLst>
            <a:ext uri="{FF2B5EF4-FFF2-40B4-BE49-F238E27FC236}">
              <a16:creationId xmlns:a16="http://schemas.microsoft.com/office/drawing/2014/main" id="{00000000-0008-0000-0000-000012080000}"/>
            </a:ext>
          </a:extLst>
        </xdr:cNvPr>
        <xdr:cNvSpPr txBox="1">
          <a:spLocks noChangeArrowheads="1"/>
        </xdr:cNvSpPr>
      </xdr:nvSpPr>
      <xdr:spPr bwMode="auto">
        <a:xfrm>
          <a:off x="798635" y="8821615"/>
          <a:ext cx="339837" cy="60016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68580" rIns="0" bIns="0" anchor="t" upright="1">
          <a:spAutoFit/>
        </a:bodyPr>
        <a:lstStyle/>
        <a:p>
          <a:pPr algn="l" rtl="0">
            <a:defRPr sz="1000"/>
          </a:pPr>
          <a:r>
            <a:rPr lang="de-CH" sz="3600" b="0" i="0" u="none" strike="noStrike" baseline="0">
              <a:solidFill>
                <a:srgbClr val="57B7DC"/>
              </a:solidFill>
              <a:latin typeface="Arial"/>
              <a:cs typeface="Arial"/>
            </a:rPr>
            <a:t>8</a:t>
          </a:r>
        </a:p>
      </xdr:txBody>
    </xdr:sp>
    <xdr:clientData/>
  </xdr:oneCellAnchor>
  <xdr:oneCellAnchor>
    <xdr:from>
      <xdr:col>1</xdr:col>
      <xdr:colOff>146050</xdr:colOff>
      <xdr:row>21</xdr:row>
      <xdr:rowOff>117475</xdr:rowOff>
    </xdr:from>
    <xdr:ext cx="416524" cy="604781"/>
    <xdr:sp macro="" textlink="">
      <xdr:nvSpPr>
        <xdr:cNvPr id="2072" name="Text Box 24">
          <a:extLst>
            <a:ext uri="{FF2B5EF4-FFF2-40B4-BE49-F238E27FC236}">
              <a16:creationId xmlns:a16="http://schemas.microsoft.com/office/drawing/2014/main" id="{00000000-0008-0000-0000-000018080000}"/>
            </a:ext>
          </a:extLst>
        </xdr:cNvPr>
        <xdr:cNvSpPr txBox="1">
          <a:spLocks noChangeArrowheads="1"/>
        </xdr:cNvSpPr>
      </xdr:nvSpPr>
      <xdr:spPr bwMode="auto">
        <a:xfrm>
          <a:off x="299915" y="3312013"/>
          <a:ext cx="416524" cy="6047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73152" rIns="0" bIns="0" anchor="t" upright="1">
          <a:spAutoFit/>
        </a:bodyPr>
        <a:lstStyle/>
        <a:p>
          <a:pPr algn="l" rtl="0">
            <a:defRPr sz="1000"/>
          </a:pPr>
          <a:r>
            <a:rPr lang="de-CH" sz="3600" b="1" i="0" u="none" strike="noStrike" baseline="0">
              <a:solidFill>
                <a:srgbClr val="0064AA"/>
              </a:solidFill>
              <a:latin typeface="Arial"/>
              <a:cs typeface="Arial"/>
            </a:rPr>
            <a:t>A</a:t>
          </a:r>
        </a:p>
      </xdr:txBody>
    </xdr:sp>
    <xdr:clientData/>
  </xdr:oneCellAnchor>
  <xdr:oneCellAnchor>
    <xdr:from>
      <xdr:col>1</xdr:col>
      <xdr:colOff>146050</xdr:colOff>
      <xdr:row>28</xdr:row>
      <xdr:rowOff>0</xdr:rowOff>
    </xdr:from>
    <xdr:ext cx="416524" cy="604781"/>
    <xdr:sp macro="" textlink="">
      <xdr:nvSpPr>
        <xdr:cNvPr id="2073" name="Text Box 25">
          <a:extLst>
            <a:ext uri="{FF2B5EF4-FFF2-40B4-BE49-F238E27FC236}">
              <a16:creationId xmlns:a16="http://schemas.microsoft.com/office/drawing/2014/main" id="{00000000-0008-0000-0000-000019080000}"/>
            </a:ext>
          </a:extLst>
        </xdr:cNvPr>
        <xdr:cNvSpPr txBox="1">
          <a:spLocks noChangeArrowheads="1"/>
        </xdr:cNvSpPr>
      </xdr:nvSpPr>
      <xdr:spPr bwMode="auto">
        <a:xfrm>
          <a:off x="299915" y="5678365"/>
          <a:ext cx="416524" cy="6047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73152" rIns="0" bIns="0" anchor="t" upright="1">
          <a:spAutoFit/>
        </a:bodyPr>
        <a:lstStyle/>
        <a:p>
          <a:pPr algn="l" rtl="0">
            <a:defRPr sz="1000"/>
          </a:pPr>
          <a:r>
            <a:rPr lang="de-CH" sz="3600" b="1" i="0" u="none" strike="noStrike" baseline="0">
              <a:solidFill>
                <a:srgbClr val="0093D1"/>
              </a:solidFill>
              <a:latin typeface="Arial"/>
              <a:cs typeface="Arial"/>
            </a:rPr>
            <a:t>B</a:t>
          </a:r>
        </a:p>
      </xdr:txBody>
    </xdr:sp>
    <xdr:clientData/>
  </xdr:oneCellAnchor>
  <xdr:oneCellAnchor>
    <xdr:from>
      <xdr:col>1</xdr:col>
      <xdr:colOff>146050</xdr:colOff>
      <xdr:row>37</xdr:row>
      <xdr:rowOff>0</xdr:rowOff>
    </xdr:from>
    <xdr:ext cx="416524" cy="604781"/>
    <xdr:sp macro="" textlink="">
      <xdr:nvSpPr>
        <xdr:cNvPr id="2074" name="Text Box 26">
          <a:extLst>
            <a:ext uri="{FF2B5EF4-FFF2-40B4-BE49-F238E27FC236}">
              <a16:creationId xmlns:a16="http://schemas.microsoft.com/office/drawing/2014/main" id="{00000000-0008-0000-0000-00001A080000}"/>
            </a:ext>
          </a:extLst>
        </xdr:cNvPr>
        <xdr:cNvSpPr txBox="1">
          <a:spLocks noChangeArrowheads="1"/>
        </xdr:cNvSpPr>
      </xdr:nvSpPr>
      <xdr:spPr bwMode="auto">
        <a:xfrm>
          <a:off x="299915" y="8821615"/>
          <a:ext cx="416524" cy="6047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82296" tIns="73152" rIns="0" bIns="0" anchor="t" upright="1">
          <a:spAutoFit/>
        </a:bodyPr>
        <a:lstStyle/>
        <a:p>
          <a:pPr algn="l" rtl="0">
            <a:defRPr sz="1000"/>
          </a:pPr>
          <a:r>
            <a:rPr lang="de-CH" sz="3600" b="1" i="0" u="none" strike="noStrike" baseline="0">
              <a:solidFill>
                <a:srgbClr val="57B7DC"/>
              </a:solidFill>
              <a:latin typeface="Arial"/>
              <a:cs typeface="Arial"/>
            </a:rPr>
            <a:t>C</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123825</xdr:colOff>
      <xdr:row>3</xdr:row>
      <xdr:rowOff>9525</xdr:rowOff>
    </xdr:from>
    <xdr:to>
      <xdr:col>1</xdr:col>
      <xdr:colOff>180975</xdr:colOff>
      <xdr:row>5</xdr:row>
      <xdr:rowOff>0</xdr:rowOff>
    </xdr:to>
    <xdr:grpSp>
      <xdr:nvGrpSpPr>
        <xdr:cNvPr id="1122" name="Group 67">
          <a:extLst>
            <a:ext uri="{FF2B5EF4-FFF2-40B4-BE49-F238E27FC236}">
              <a16:creationId xmlns:a16="http://schemas.microsoft.com/office/drawing/2014/main" id="{00000000-0008-0000-0100-000062040000}"/>
            </a:ext>
          </a:extLst>
        </xdr:cNvPr>
        <xdr:cNvGrpSpPr>
          <a:grpSpLocks/>
        </xdr:cNvGrpSpPr>
      </xdr:nvGrpSpPr>
      <xdr:grpSpPr bwMode="auto">
        <a:xfrm>
          <a:off x="123825" y="200025"/>
          <a:ext cx="933450" cy="523875"/>
          <a:chOff x="15" y="21"/>
          <a:chExt cx="110" cy="60"/>
        </a:xfrm>
      </xdr:grpSpPr>
      <xdr:pic>
        <xdr:nvPicPr>
          <xdr:cNvPr id="1138" name="Picture 61" descr="kmu_check_up">
            <a:hlinkClick xmlns:r="http://schemas.openxmlformats.org/officeDocument/2006/relationships" r:id="rId1"/>
            <a:extLst>
              <a:ext uri="{FF2B5EF4-FFF2-40B4-BE49-F238E27FC236}">
                <a16:creationId xmlns:a16="http://schemas.microsoft.com/office/drawing/2014/main" id="{00000000-0008-0000-0100-000072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086" name="Text Box 62">
            <a:extLst>
              <a:ext uri="{FF2B5EF4-FFF2-40B4-BE49-F238E27FC236}">
                <a16:creationId xmlns:a16="http://schemas.microsoft.com/office/drawing/2014/main" id="{00000000-0008-0000-0100-00003E0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28</xdr:row>
      <xdr:rowOff>60325</xdr:rowOff>
    </xdr:from>
    <xdr:to>
      <xdr:col>1</xdr:col>
      <xdr:colOff>184150</xdr:colOff>
      <xdr:row>30</xdr:row>
      <xdr:rowOff>38181</xdr:rowOff>
    </xdr:to>
    <xdr:sp macro="" textlink="">
      <xdr:nvSpPr>
        <xdr:cNvPr id="1070" name="Text Box 46">
          <a:hlinkClick xmlns:r="http://schemas.openxmlformats.org/officeDocument/2006/relationships" r:id="rId3"/>
          <a:extLst>
            <a:ext uri="{FF2B5EF4-FFF2-40B4-BE49-F238E27FC236}">
              <a16:creationId xmlns:a16="http://schemas.microsoft.com/office/drawing/2014/main" id="{00000000-0008-0000-0100-00002E040000}"/>
            </a:ext>
          </a:extLst>
        </xdr:cNvPr>
        <xdr:cNvSpPr txBox="1">
          <a:spLocks noChangeArrowheads="1"/>
        </xdr:cNvSpPr>
      </xdr:nvSpPr>
      <xdr:spPr bwMode="auto">
        <a:xfrm>
          <a:off x="127000" y="504825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30</xdr:row>
      <xdr:rowOff>79375</xdr:rowOff>
    </xdr:from>
    <xdr:to>
      <xdr:col>1</xdr:col>
      <xdr:colOff>184150</xdr:colOff>
      <xdr:row>32</xdr:row>
      <xdr:rowOff>57231</xdr:rowOff>
    </xdr:to>
    <xdr:sp macro="" textlink="">
      <xdr:nvSpPr>
        <xdr:cNvPr id="1071" name="Text Box 47">
          <a:hlinkClick xmlns:r="http://schemas.openxmlformats.org/officeDocument/2006/relationships" r:id="rId4"/>
          <a:extLst>
            <a:ext uri="{FF2B5EF4-FFF2-40B4-BE49-F238E27FC236}">
              <a16:creationId xmlns:a16="http://schemas.microsoft.com/office/drawing/2014/main" id="{00000000-0008-0000-0100-00002F040000}"/>
            </a:ext>
          </a:extLst>
        </xdr:cNvPr>
        <xdr:cNvSpPr txBox="1">
          <a:spLocks noChangeArrowheads="1"/>
        </xdr:cNvSpPr>
      </xdr:nvSpPr>
      <xdr:spPr bwMode="auto">
        <a:xfrm>
          <a:off x="127000" y="542290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32</xdr:row>
      <xdr:rowOff>95250</xdr:rowOff>
    </xdr:from>
    <xdr:to>
      <xdr:col>1</xdr:col>
      <xdr:colOff>184150</xdr:colOff>
      <xdr:row>33</xdr:row>
      <xdr:rowOff>136558</xdr:rowOff>
    </xdr:to>
    <xdr:sp macro="" textlink="">
      <xdr:nvSpPr>
        <xdr:cNvPr id="1072" name="Text Box 48">
          <a:hlinkClick xmlns:r="http://schemas.openxmlformats.org/officeDocument/2006/relationships" r:id="rId5"/>
          <a:extLst>
            <a:ext uri="{FF2B5EF4-FFF2-40B4-BE49-F238E27FC236}">
              <a16:creationId xmlns:a16="http://schemas.microsoft.com/office/drawing/2014/main" id="{00000000-0008-0000-0100-000030040000}"/>
            </a:ext>
          </a:extLst>
        </xdr:cNvPr>
        <xdr:cNvSpPr txBox="1">
          <a:spLocks noChangeArrowheads="1"/>
        </xdr:cNvSpPr>
      </xdr:nvSpPr>
      <xdr:spPr bwMode="auto">
        <a:xfrm>
          <a:off x="127000" y="58039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33</xdr:row>
      <xdr:rowOff>177800</xdr:rowOff>
    </xdr:from>
    <xdr:to>
      <xdr:col>1</xdr:col>
      <xdr:colOff>184150</xdr:colOff>
      <xdr:row>35</xdr:row>
      <xdr:rowOff>158750</xdr:rowOff>
    </xdr:to>
    <xdr:sp macro="" textlink="">
      <xdr:nvSpPr>
        <xdr:cNvPr id="1073" name="Text Box 49">
          <a:hlinkClick xmlns:r="http://schemas.openxmlformats.org/officeDocument/2006/relationships" r:id="rId6"/>
          <a:extLst>
            <a:ext uri="{FF2B5EF4-FFF2-40B4-BE49-F238E27FC236}">
              <a16:creationId xmlns:a16="http://schemas.microsoft.com/office/drawing/2014/main" id="{00000000-0008-0000-0100-000031040000}"/>
            </a:ext>
          </a:extLst>
        </xdr:cNvPr>
        <xdr:cNvSpPr txBox="1">
          <a:spLocks noChangeArrowheads="1"/>
        </xdr:cNvSpPr>
      </xdr:nvSpPr>
      <xdr:spPr bwMode="auto">
        <a:xfrm>
          <a:off x="127000" y="618490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36</xdr:row>
      <xdr:rowOff>0</xdr:rowOff>
    </xdr:from>
    <xdr:to>
      <xdr:col>1</xdr:col>
      <xdr:colOff>184150</xdr:colOff>
      <xdr:row>37</xdr:row>
      <xdr:rowOff>178153</xdr:rowOff>
    </xdr:to>
    <xdr:sp macro="" textlink="">
      <xdr:nvSpPr>
        <xdr:cNvPr id="1074" name="Text Box 50">
          <a:hlinkClick xmlns:r="http://schemas.openxmlformats.org/officeDocument/2006/relationships" r:id="rId7"/>
          <a:extLst>
            <a:ext uri="{FF2B5EF4-FFF2-40B4-BE49-F238E27FC236}">
              <a16:creationId xmlns:a16="http://schemas.microsoft.com/office/drawing/2014/main" id="{00000000-0008-0000-0100-000032040000}"/>
            </a:ext>
          </a:extLst>
        </xdr:cNvPr>
        <xdr:cNvSpPr txBox="1">
          <a:spLocks noChangeArrowheads="1"/>
        </xdr:cNvSpPr>
      </xdr:nvSpPr>
      <xdr:spPr bwMode="auto">
        <a:xfrm>
          <a:off x="127000" y="655955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19</xdr:row>
      <xdr:rowOff>92075</xdr:rowOff>
    </xdr:from>
    <xdr:to>
      <xdr:col>1</xdr:col>
      <xdr:colOff>184150</xdr:colOff>
      <xdr:row>21</xdr:row>
      <xdr:rowOff>73025</xdr:rowOff>
    </xdr:to>
    <xdr:sp macro="" textlink="">
      <xdr:nvSpPr>
        <xdr:cNvPr id="1066" name="Text Box 42">
          <a:hlinkClick xmlns:r="http://schemas.openxmlformats.org/officeDocument/2006/relationships" r:id="rId8"/>
          <a:extLst>
            <a:ext uri="{FF2B5EF4-FFF2-40B4-BE49-F238E27FC236}">
              <a16:creationId xmlns:a16="http://schemas.microsoft.com/office/drawing/2014/main" id="{00000000-0008-0000-0100-00002A040000}"/>
            </a:ext>
          </a:extLst>
        </xdr:cNvPr>
        <xdr:cNvSpPr txBox="1">
          <a:spLocks noChangeArrowheads="1"/>
        </xdr:cNvSpPr>
      </xdr:nvSpPr>
      <xdr:spPr bwMode="auto">
        <a:xfrm>
          <a:off x="127000" y="347980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21</xdr:row>
      <xdr:rowOff>104775</xdr:rowOff>
    </xdr:from>
    <xdr:to>
      <xdr:col>1</xdr:col>
      <xdr:colOff>184150</xdr:colOff>
      <xdr:row>23</xdr:row>
      <xdr:rowOff>92075</xdr:rowOff>
    </xdr:to>
    <xdr:sp macro="" textlink="">
      <xdr:nvSpPr>
        <xdr:cNvPr id="1067" name="Text Box 43">
          <a:hlinkClick xmlns:r="http://schemas.openxmlformats.org/officeDocument/2006/relationships" r:id="rId9"/>
          <a:extLst>
            <a:ext uri="{FF2B5EF4-FFF2-40B4-BE49-F238E27FC236}">
              <a16:creationId xmlns:a16="http://schemas.microsoft.com/office/drawing/2014/main" id="{00000000-0008-0000-0100-00002B040000}"/>
            </a:ext>
          </a:extLst>
        </xdr:cNvPr>
        <xdr:cNvSpPr txBox="1">
          <a:spLocks noChangeArrowheads="1"/>
        </xdr:cNvSpPr>
      </xdr:nvSpPr>
      <xdr:spPr bwMode="auto">
        <a:xfrm>
          <a:off x="127000" y="3848100"/>
          <a:ext cx="933450" cy="3429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23</xdr:row>
      <xdr:rowOff>123825</xdr:rowOff>
    </xdr:from>
    <xdr:to>
      <xdr:col>1</xdr:col>
      <xdr:colOff>184150</xdr:colOff>
      <xdr:row>25</xdr:row>
      <xdr:rowOff>104775</xdr:rowOff>
    </xdr:to>
    <xdr:sp macro="" textlink="">
      <xdr:nvSpPr>
        <xdr:cNvPr id="1068" name="Text Box 44">
          <a:hlinkClick xmlns:r="http://schemas.openxmlformats.org/officeDocument/2006/relationships" r:id="rId10"/>
          <a:extLst>
            <a:ext uri="{FF2B5EF4-FFF2-40B4-BE49-F238E27FC236}">
              <a16:creationId xmlns:a16="http://schemas.microsoft.com/office/drawing/2014/main" id="{00000000-0008-0000-0100-00002C040000}"/>
            </a:ext>
          </a:extLst>
        </xdr:cNvPr>
        <xdr:cNvSpPr txBox="1">
          <a:spLocks noChangeArrowheads="1"/>
        </xdr:cNvSpPr>
      </xdr:nvSpPr>
      <xdr:spPr bwMode="auto">
        <a:xfrm>
          <a:off x="127000" y="422275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25</xdr:row>
      <xdr:rowOff>142875</xdr:rowOff>
    </xdr:from>
    <xdr:to>
      <xdr:col>1</xdr:col>
      <xdr:colOff>184150</xdr:colOff>
      <xdr:row>27</xdr:row>
      <xdr:rowOff>123825</xdr:rowOff>
    </xdr:to>
    <xdr:sp macro="" textlink="">
      <xdr:nvSpPr>
        <xdr:cNvPr id="1082" name="Text Box 58">
          <a:hlinkClick xmlns:r="http://schemas.openxmlformats.org/officeDocument/2006/relationships" r:id="rId11"/>
          <a:extLst>
            <a:ext uri="{FF2B5EF4-FFF2-40B4-BE49-F238E27FC236}">
              <a16:creationId xmlns:a16="http://schemas.microsoft.com/office/drawing/2014/main" id="{00000000-0008-0000-0100-00003A040000}"/>
            </a:ext>
          </a:extLst>
        </xdr:cNvPr>
        <xdr:cNvSpPr txBox="1">
          <a:spLocks noChangeArrowheads="1"/>
        </xdr:cNvSpPr>
      </xdr:nvSpPr>
      <xdr:spPr bwMode="auto">
        <a:xfrm>
          <a:off x="127000" y="459740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123825</xdr:colOff>
      <xdr:row>5</xdr:row>
      <xdr:rowOff>57150</xdr:rowOff>
    </xdr:from>
    <xdr:to>
      <xdr:col>1</xdr:col>
      <xdr:colOff>180975</xdr:colOff>
      <xdr:row>18</xdr:row>
      <xdr:rowOff>152400</xdr:rowOff>
    </xdr:to>
    <xdr:grpSp>
      <xdr:nvGrpSpPr>
        <xdr:cNvPr id="1132" name="Group 72">
          <a:extLst>
            <a:ext uri="{FF2B5EF4-FFF2-40B4-BE49-F238E27FC236}">
              <a16:creationId xmlns:a16="http://schemas.microsoft.com/office/drawing/2014/main" id="{00000000-0008-0000-0100-00006C040000}"/>
            </a:ext>
          </a:extLst>
        </xdr:cNvPr>
        <xdr:cNvGrpSpPr>
          <a:grpSpLocks/>
        </xdr:cNvGrpSpPr>
      </xdr:nvGrpSpPr>
      <xdr:grpSpPr bwMode="auto">
        <a:xfrm>
          <a:off x="123825" y="781050"/>
          <a:ext cx="933450" cy="2724150"/>
          <a:chOff x="15" y="82"/>
          <a:chExt cx="110" cy="286"/>
        </a:xfrm>
      </xdr:grpSpPr>
      <xdr:sp macro="" textlink="">
        <xdr:nvSpPr>
          <xdr:cNvPr id="1061" name="Text Box 37" descr="50%">
            <a:hlinkClick xmlns:r="http://schemas.openxmlformats.org/officeDocument/2006/relationships" r:id="rId12"/>
            <a:extLst>
              <a:ext uri="{FF2B5EF4-FFF2-40B4-BE49-F238E27FC236}">
                <a16:creationId xmlns:a16="http://schemas.microsoft.com/office/drawing/2014/main" id="{00000000-0008-0000-0100-000025040000}"/>
              </a:ext>
            </a:extLst>
          </xdr:cNvPr>
          <xdr:cNvSpPr txBox="1">
            <a:spLocks noChangeArrowheads="1"/>
          </xdr:cNvSpPr>
        </xdr:nvSpPr>
        <xdr:spPr bwMode="auto">
          <a:xfrm>
            <a:off x="15" y="82"/>
            <a:ext cx="110" cy="87"/>
          </a:xfrm>
          <a:prstGeom prst="rect">
            <a:avLst/>
          </a:prstGeom>
          <a:pattFill prst="pct50">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0064AA" mc:Ignorable="a14" a14:legacySpreadsheetColorIndex="18"/>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000000"/>
                </a:solidFill>
                <a:latin typeface="Arial"/>
                <a:cs typeface="Arial"/>
              </a:rPr>
              <a:t>Eröffnungs-</a:t>
            </a:r>
          </a:p>
          <a:p>
            <a:pPr algn="l" rtl="0">
              <a:lnSpc>
                <a:spcPts val="1100"/>
              </a:lnSpc>
              <a:defRPr sz="1000"/>
            </a:pPr>
            <a:r>
              <a:rPr lang="de-CH" sz="1000" b="0" i="0" u="none" strike="noStrike" baseline="0">
                <a:solidFill>
                  <a:srgbClr val="000000"/>
                </a:solidFill>
                <a:latin typeface="Arial"/>
                <a:cs typeface="Arial"/>
              </a:rPr>
              <a:t>bilanz &amp;</a:t>
            </a:r>
          </a:p>
          <a:p>
            <a:pPr algn="l" rtl="0">
              <a:defRPr sz="1000"/>
            </a:pPr>
            <a:r>
              <a:rPr lang="de-CH" sz="1000" b="0" i="0" u="none" strike="noStrike" baseline="0">
                <a:solidFill>
                  <a:srgbClr val="000000"/>
                </a:solidFill>
                <a:latin typeface="Arial"/>
                <a:cs typeface="Arial"/>
              </a:rPr>
              <a:t>Bilanz-</a:t>
            </a:r>
          </a:p>
          <a:p>
            <a:pPr algn="l" rtl="0">
              <a:defRPr sz="1000"/>
            </a:pPr>
            <a:r>
              <a:rPr lang="de-CH" sz="1000" b="0" i="0" u="none" strike="noStrike" baseline="0">
                <a:solidFill>
                  <a:srgbClr val="000000"/>
                </a:solidFill>
                <a:latin typeface="Arial"/>
                <a:cs typeface="Arial"/>
              </a:rPr>
              <a:t>parameter</a:t>
            </a:r>
          </a:p>
        </xdr:txBody>
      </xdr:sp>
      <xdr:sp macro="" textlink="">
        <xdr:nvSpPr>
          <xdr:cNvPr id="1062" name="Text Box 38">
            <a:hlinkClick xmlns:r="http://schemas.openxmlformats.org/officeDocument/2006/relationships" r:id="rId13"/>
            <a:extLst>
              <a:ext uri="{FF2B5EF4-FFF2-40B4-BE49-F238E27FC236}">
                <a16:creationId xmlns:a16="http://schemas.microsoft.com/office/drawing/2014/main" id="{00000000-0008-0000-0100-000026040000}"/>
              </a:ext>
            </a:extLst>
          </xdr:cNvPr>
          <xdr:cNvSpPr txBox="1">
            <a:spLocks noChangeArrowheads="1"/>
          </xdr:cNvSpPr>
        </xdr:nvSpPr>
        <xdr:spPr bwMode="auto">
          <a:xfrm>
            <a:off x="15" y="193"/>
            <a:ext cx="110" cy="76"/>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sp macro="" textlink="">
        <xdr:nvSpPr>
          <xdr:cNvPr id="1063" name="Text Box 39">
            <a:hlinkClick xmlns:r="http://schemas.openxmlformats.org/officeDocument/2006/relationships" r:id="rId14"/>
            <a:extLst>
              <a:ext uri="{FF2B5EF4-FFF2-40B4-BE49-F238E27FC236}">
                <a16:creationId xmlns:a16="http://schemas.microsoft.com/office/drawing/2014/main" id="{00000000-0008-0000-0100-000027040000}"/>
              </a:ext>
            </a:extLst>
          </xdr:cNvPr>
          <xdr:cNvSpPr txBox="1">
            <a:spLocks noChangeArrowheads="1"/>
          </xdr:cNvSpPr>
        </xdr:nvSpPr>
        <xdr:spPr bwMode="auto">
          <a:xfrm>
            <a:off x="15" y="293"/>
            <a:ext cx="110" cy="75"/>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sp macro="" textlink="">
        <xdr:nvSpPr>
          <xdr:cNvPr id="1136" name="AutoShape 65">
            <a:extLst>
              <a:ext uri="{FF2B5EF4-FFF2-40B4-BE49-F238E27FC236}">
                <a16:creationId xmlns:a16="http://schemas.microsoft.com/office/drawing/2014/main" id="{00000000-0008-0000-0100-000070040000}"/>
              </a:ext>
            </a:extLst>
          </xdr:cNvPr>
          <xdr:cNvSpPr>
            <a:spLocks noChangeArrowheads="1"/>
          </xdr:cNvSpPr>
        </xdr:nvSpPr>
        <xdr:spPr bwMode="auto">
          <a:xfrm>
            <a:off x="38" y="169"/>
            <a:ext cx="69" cy="24"/>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137" name="AutoShape 66">
            <a:extLst>
              <a:ext uri="{FF2B5EF4-FFF2-40B4-BE49-F238E27FC236}">
                <a16:creationId xmlns:a16="http://schemas.microsoft.com/office/drawing/2014/main" id="{00000000-0008-0000-0100-000071040000}"/>
              </a:ext>
            </a:extLst>
          </xdr:cNvPr>
          <xdr:cNvSpPr>
            <a:spLocks noChangeArrowheads="1"/>
          </xdr:cNvSpPr>
        </xdr:nvSpPr>
        <xdr:spPr bwMode="auto">
          <a:xfrm>
            <a:off x="38" y="269"/>
            <a:ext cx="69" cy="24"/>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7</xdr:row>
          <xdr:rowOff>0</xdr:rowOff>
        </xdr:from>
        <xdr:to>
          <xdr:col>13</xdr:col>
          <xdr:colOff>390525</xdr:colOff>
          <xdr:row>8</xdr:row>
          <xdr:rowOff>47625</xdr:rowOff>
        </xdr:to>
        <xdr:sp macro="" textlink="">
          <xdr:nvSpPr>
            <xdr:cNvPr id="3088" name="Drop Dow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123825</xdr:colOff>
      <xdr:row>1</xdr:row>
      <xdr:rowOff>9525</xdr:rowOff>
    </xdr:from>
    <xdr:to>
      <xdr:col>1</xdr:col>
      <xdr:colOff>180975</xdr:colOff>
      <xdr:row>4</xdr:row>
      <xdr:rowOff>0</xdr:rowOff>
    </xdr:to>
    <xdr:grpSp>
      <xdr:nvGrpSpPr>
        <xdr:cNvPr id="3223" name="Group 116">
          <a:extLst>
            <a:ext uri="{FF2B5EF4-FFF2-40B4-BE49-F238E27FC236}">
              <a16:creationId xmlns:a16="http://schemas.microsoft.com/office/drawing/2014/main" id="{00000000-0008-0000-0200-0000970C0000}"/>
            </a:ext>
          </a:extLst>
        </xdr:cNvPr>
        <xdr:cNvGrpSpPr>
          <a:grpSpLocks/>
        </xdr:cNvGrpSpPr>
      </xdr:nvGrpSpPr>
      <xdr:grpSpPr bwMode="auto">
        <a:xfrm>
          <a:off x="123825" y="200025"/>
          <a:ext cx="933450" cy="523875"/>
          <a:chOff x="15" y="21"/>
          <a:chExt cx="110" cy="60"/>
        </a:xfrm>
      </xdr:grpSpPr>
      <xdr:pic>
        <xdr:nvPicPr>
          <xdr:cNvPr id="3238" name="Picture 117" descr="kmu_check_up">
            <a:hlinkClick xmlns:r="http://schemas.openxmlformats.org/officeDocument/2006/relationships" r:id="rId1"/>
            <a:extLst>
              <a:ext uri="{FF2B5EF4-FFF2-40B4-BE49-F238E27FC236}">
                <a16:creationId xmlns:a16="http://schemas.microsoft.com/office/drawing/2014/main" id="{00000000-0008-0000-0200-0000A6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3190" name="Text Box 118">
            <a:extLst>
              <a:ext uri="{FF2B5EF4-FFF2-40B4-BE49-F238E27FC236}">
                <a16:creationId xmlns:a16="http://schemas.microsoft.com/office/drawing/2014/main" id="{00000000-0008-0000-0200-0000760C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29</xdr:row>
      <xdr:rowOff>53975</xdr:rowOff>
    </xdr:from>
    <xdr:to>
      <xdr:col>1</xdr:col>
      <xdr:colOff>174685</xdr:colOff>
      <xdr:row>31</xdr:row>
      <xdr:rowOff>73025</xdr:rowOff>
    </xdr:to>
    <xdr:sp macro="" textlink="">
      <xdr:nvSpPr>
        <xdr:cNvPr id="3191" name="Text Box 119">
          <a:hlinkClick xmlns:r="http://schemas.openxmlformats.org/officeDocument/2006/relationships" r:id="rId3"/>
          <a:extLst>
            <a:ext uri="{FF2B5EF4-FFF2-40B4-BE49-F238E27FC236}">
              <a16:creationId xmlns:a16="http://schemas.microsoft.com/office/drawing/2014/main" id="{00000000-0008-0000-0200-0000770C0000}"/>
            </a:ext>
          </a:extLst>
        </xdr:cNvPr>
        <xdr:cNvSpPr txBox="1">
          <a:spLocks noChangeArrowheads="1"/>
        </xdr:cNvSpPr>
      </xdr:nvSpPr>
      <xdr:spPr bwMode="auto">
        <a:xfrm>
          <a:off x="127000" y="516890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31</xdr:row>
      <xdr:rowOff>95250</xdr:rowOff>
    </xdr:from>
    <xdr:to>
      <xdr:col>1</xdr:col>
      <xdr:colOff>174685</xdr:colOff>
      <xdr:row>33</xdr:row>
      <xdr:rowOff>130324</xdr:rowOff>
    </xdr:to>
    <xdr:sp macro="" textlink="">
      <xdr:nvSpPr>
        <xdr:cNvPr id="3192" name="Text Box 120">
          <a:hlinkClick xmlns:r="http://schemas.openxmlformats.org/officeDocument/2006/relationships" r:id="rId4"/>
          <a:extLst>
            <a:ext uri="{FF2B5EF4-FFF2-40B4-BE49-F238E27FC236}">
              <a16:creationId xmlns:a16="http://schemas.microsoft.com/office/drawing/2014/main" id="{00000000-0008-0000-0200-0000780C0000}"/>
            </a:ext>
          </a:extLst>
        </xdr:cNvPr>
        <xdr:cNvSpPr txBox="1">
          <a:spLocks noChangeArrowheads="1"/>
        </xdr:cNvSpPr>
      </xdr:nvSpPr>
      <xdr:spPr bwMode="auto">
        <a:xfrm>
          <a:off x="127000" y="553720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33</xdr:row>
      <xdr:rowOff>165100</xdr:rowOff>
    </xdr:from>
    <xdr:to>
      <xdr:col>1</xdr:col>
      <xdr:colOff>174685</xdr:colOff>
      <xdr:row>52</xdr:row>
      <xdr:rowOff>25400</xdr:rowOff>
    </xdr:to>
    <xdr:sp macro="" textlink="">
      <xdr:nvSpPr>
        <xdr:cNvPr id="3193" name="Text Box 121">
          <a:hlinkClick xmlns:r="http://schemas.openxmlformats.org/officeDocument/2006/relationships" r:id="rId5"/>
          <a:extLst>
            <a:ext uri="{FF2B5EF4-FFF2-40B4-BE49-F238E27FC236}">
              <a16:creationId xmlns:a16="http://schemas.microsoft.com/office/drawing/2014/main" id="{00000000-0008-0000-0200-0000790C0000}"/>
            </a:ext>
          </a:extLst>
        </xdr:cNvPr>
        <xdr:cNvSpPr txBox="1">
          <a:spLocks noChangeArrowheads="1"/>
        </xdr:cNvSpPr>
      </xdr:nvSpPr>
      <xdr:spPr bwMode="auto">
        <a:xfrm>
          <a:off x="127000" y="592455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52</xdr:row>
      <xdr:rowOff>63500</xdr:rowOff>
    </xdr:from>
    <xdr:to>
      <xdr:col>1</xdr:col>
      <xdr:colOff>174685</xdr:colOff>
      <xdr:row>54</xdr:row>
      <xdr:rowOff>82550</xdr:rowOff>
    </xdr:to>
    <xdr:sp macro="" textlink="">
      <xdr:nvSpPr>
        <xdr:cNvPr id="3194" name="Text Box 122">
          <a:hlinkClick xmlns:r="http://schemas.openxmlformats.org/officeDocument/2006/relationships" r:id="rId6"/>
          <a:extLst>
            <a:ext uri="{FF2B5EF4-FFF2-40B4-BE49-F238E27FC236}">
              <a16:creationId xmlns:a16="http://schemas.microsoft.com/office/drawing/2014/main" id="{00000000-0008-0000-0200-00007A0C0000}"/>
            </a:ext>
          </a:extLst>
        </xdr:cNvPr>
        <xdr:cNvSpPr txBox="1">
          <a:spLocks noChangeArrowheads="1"/>
        </xdr:cNvSpPr>
      </xdr:nvSpPr>
      <xdr:spPr bwMode="auto">
        <a:xfrm>
          <a:off x="127000" y="6305550"/>
          <a:ext cx="933450" cy="3365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54</xdr:row>
      <xdr:rowOff>114300</xdr:rowOff>
    </xdr:from>
    <xdr:to>
      <xdr:col>1</xdr:col>
      <xdr:colOff>174685</xdr:colOff>
      <xdr:row>59</xdr:row>
      <xdr:rowOff>133350</xdr:rowOff>
    </xdr:to>
    <xdr:sp macro="" textlink="">
      <xdr:nvSpPr>
        <xdr:cNvPr id="3195" name="Text Box 123">
          <a:hlinkClick xmlns:r="http://schemas.openxmlformats.org/officeDocument/2006/relationships" r:id="rId7"/>
          <a:extLst>
            <a:ext uri="{FF2B5EF4-FFF2-40B4-BE49-F238E27FC236}">
              <a16:creationId xmlns:a16="http://schemas.microsoft.com/office/drawing/2014/main" id="{00000000-0008-0000-0200-00007B0C0000}"/>
            </a:ext>
          </a:extLst>
        </xdr:cNvPr>
        <xdr:cNvSpPr txBox="1">
          <a:spLocks noChangeArrowheads="1"/>
        </xdr:cNvSpPr>
      </xdr:nvSpPr>
      <xdr:spPr bwMode="auto">
        <a:xfrm>
          <a:off x="127000" y="6673850"/>
          <a:ext cx="933450" cy="3429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20</xdr:row>
      <xdr:rowOff>57150</xdr:rowOff>
    </xdr:from>
    <xdr:to>
      <xdr:col>1</xdr:col>
      <xdr:colOff>174685</xdr:colOff>
      <xdr:row>22</xdr:row>
      <xdr:rowOff>76200</xdr:rowOff>
    </xdr:to>
    <xdr:sp macro="" textlink="">
      <xdr:nvSpPr>
        <xdr:cNvPr id="3196" name="Text Box 124">
          <a:hlinkClick xmlns:r="http://schemas.openxmlformats.org/officeDocument/2006/relationships" r:id="rId8"/>
          <a:extLst>
            <a:ext uri="{FF2B5EF4-FFF2-40B4-BE49-F238E27FC236}">
              <a16:creationId xmlns:a16="http://schemas.microsoft.com/office/drawing/2014/main" id="{00000000-0008-0000-0200-00007C0C0000}"/>
            </a:ext>
          </a:extLst>
        </xdr:cNvPr>
        <xdr:cNvSpPr txBox="1">
          <a:spLocks noChangeArrowheads="1"/>
        </xdr:cNvSpPr>
      </xdr:nvSpPr>
      <xdr:spPr bwMode="auto">
        <a:xfrm>
          <a:off x="127000" y="357505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22</xdr:row>
      <xdr:rowOff>101600</xdr:rowOff>
    </xdr:from>
    <xdr:to>
      <xdr:col>1</xdr:col>
      <xdr:colOff>174685</xdr:colOff>
      <xdr:row>24</xdr:row>
      <xdr:rowOff>120650</xdr:rowOff>
    </xdr:to>
    <xdr:sp macro="" textlink="">
      <xdr:nvSpPr>
        <xdr:cNvPr id="3197" name="Text Box 125">
          <a:hlinkClick xmlns:r="http://schemas.openxmlformats.org/officeDocument/2006/relationships" r:id="rId9"/>
          <a:extLst>
            <a:ext uri="{FF2B5EF4-FFF2-40B4-BE49-F238E27FC236}">
              <a16:creationId xmlns:a16="http://schemas.microsoft.com/office/drawing/2014/main" id="{00000000-0008-0000-0200-00007D0C0000}"/>
            </a:ext>
          </a:extLst>
        </xdr:cNvPr>
        <xdr:cNvSpPr txBox="1">
          <a:spLocks noChangeArrowheads="1"/>
        </xdr:cNvSpPr>
      </xdr:nvSpPr>
      <xdr:spPr bwMode="auto">
        <a:xfrm>
          <a:off x="127000" y="3937000"/>
          <a:ext cx="933450" cy="3365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25</xdr:row>
      <xdr:rowOff>0</xdr:rowOff>
    </xdr:from>
    <xdr:to>
      <xdr:col>1</xdr:col>
      <xdr:colOff>174685</xdr:colOff>
      <xdr:row>27</xdr:row>
      <xdr:rowOff>19050</xdr:rowOff>
    </xdr:to>
    <xdr:sp macro="" textlink="">
      <xdr:nvSpPr>
        <xdr:cNvPr id="3198" name="Text Box 126">
          <a:hlinkClick xmlns:r="http://schemas.openxmlformats.org/officeDocument/2006/relationships" r:id="rId10"/>
          <a:extLst>
            <a:ext uri="{FF2B5EF4-FFF2-40B4-BE49-F238E27FC236}">
              <a16:creationId xmlns:a16="http://schemas.microsoft.com/office/drawing/2014/main" id="{00000000-0008-0000-0200-00007E0C0000}"/>
            </a:ext>
          </a:extLst>
        </xdr:cNvPr>
        <xdr:cNvSpPr txBox="1">
          <a:spLocks noChangeArrowheads="1"/>
        </xdr:cNvSpPr>
      </xdr:nvSpPr>
      <xdr:spPr bwMode="auto">
        <a:xfrm>
          <a:off x="127000" y="4311650"/>
          <a:ext cx="933450" cy="3429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27</xdr:row>
      <xdr:rowOff>57150</xdr:rowOff>
    </xdr:from>
    <xdr:to>
      <xdr:col>1</xdr:col>
      <xdr:colOff>174685</xdr:colOff>
      <xdr:row>28</xdr:row>
      <xdr:rowOff>82550</xdr:rowOff>
    </xdr:to>
    <xdr:sp macro="" textlink="">
      <xdr:nvSpPr>
        <xdr:cNvPr id="3199" name="Text Box 127">
          <a:hlinkClick xmlns:r="http://schemas.openxmlformats.org/officeDocument/2006/relationships" r:id="rId11"/>
          <a:extLst>
            <a:ext uri="{FF2B5EF4-FFF2-40B4-BE49-F238E27FC236}">
              <a16:creationId xmlns:a16="http://schemas.microsoft.com/office/drawing/2014/main" id="{00000000-0008-0000-0200-00007F0C0000}"/>
            </a:ext>
          </a:extLst>
        </xdr:cNvPr>
        <xdr:cNvSpPr txBox="1">
          <a:spLocks noChangeArrowheads="1"/>
        </xdr:cNvSpPr>
      </xdr:nvSpPr>
      <xdr:spPr bwMode="auto">
        <a:xfrm>
          <a:off x="127000" y="46926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174685</xdr:colOff>
      <xdr:row>8</xdr:row>
      <xdr:rowOff>3187</xdr:rowOff>
    </xdr:to>
    <xdr:sp macro="" textlink="">
      <xdr:nvSpPr>
        <xdr:cNvPr id="3201" name="Text Box 129">
          <a:hlinkClick xmlns:r="http://schemas.openxmlformats.org/officeDocument/2006/relationships" r:id="rId12"/>
          <a:extLst>
            <a:ext uri="{FF2B5EF4-FFF2-40B4-BE49-F238E27FC236}">
              <a16:creationId xmlns:a16="http://schemas.microsoft.com/office/drawing/2014/main" id="{00000000-0008-0000-0200-0000810C0000}"/>
            </a:ext>
          </a:extLst>
        </xdr:cNvPr>
        <xdr:cNvSpPr txBox="1">
          <a:spLocks noChangeArrowheads="1"/>
        </xdr:cNvSpPr>
      </xdr:nvSpPr>
      <xdr:spPr bwMode="auto">
        <a:xfrm>
          <a:off x="127000" y="787400"/>
          <a:ext cx="933450" cy="831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9</xdr:row>
      <xdr:rowOff>174625</xdr:rowOff>
    </xdr:from>
    <xdr:to>
      <xdr:col>1</xdr:col>
      <xdr:colOff>174685</xdr:colOff>
      <xdr:row>14</xdr:row>
      <xdr:rowOff>5</xdr:rowOff>
    </xdr:to>
    <xdr:sp macro="" textlink="">
      <xdr:nvSpPr>
        <xdr:cNvPr id="3202" name="Text Box 130" descr="50%">
          <a:hlinkClick xmlns:r="http://schemas.openxmlformats.org/officeDocument/2006/relationships" r:id="rId13"/>
          <a:extLst>
            <a:ext uri="{FF2B5EF4-FFF2-40B4-BE49-F238E27FC236}">
              <a16:creationId xmlns:a16="http://schemas.microsoft.com/office/drawing/2014/main" id="{00000000-0008-0000-0200-0000820C0000}"/>
            </a:ext>
          </a:extLst>
        </xdr:cNvPr>
        <xdr:cNvSpPr txBox="1">
          <a:spLocks noChangeArrowheads="1"/>
        </xdr:cNvSpPr>
      </xdr:nvSpPr>
      <xdr:spPr bwMode="auto">
        <a:xfrm>
          <a:off x="127000" y="1854200"/>
          <a:ext cx="933450" cy="711200"/>
        </a:xfrm>
        <a:prstGeom prst="rect">
          <a:avLst/>
        </a:prstGeom>
        <a:pattFill prst="pct50">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0064AA" mc:Ignorable="a14" a14:legacySpreadsheetColorIndex="18"/>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000000"/>
              </a:solidFill>
              <a:latin typeface="Arial"/>
              <a:cs typeface="Arial"/>
            </a:rPr>
            <a:t>Geschäfts-</a:t>
          </a:r>
        </a:p>
        <a:p>
          <a:pPr algn="l" rtl="0">
            <a:lnSpc>
              <a:spcPts val="1100"/>
            </a:lnSpc>
            <a:defRPr sz="1000"/>
          </a:pPr>
          <a:r>
            <a:rPr lang="de-CH" sz="1000" b="0" i="0" u="none" strike="noStrike" baseline="0">
              <a:solidFill>
                <a:srgbClr val="000000"/>
              </a:solidFill>
              <a:latin typeface="Arial"/>
              <a:cs typeface="Arial"/>
            </a:rPr>
            <a:t>entwicklung &amp;</a:t>
          </a:r>
        </a:p>
        <a:p>
          <a:pPr algn="l" rtl="0">
            <a:defRPr sz="1000"/>
          </a:pPr>
          <a:r>
            <a:rPr lang="de-CH" sz="1000" b="0" i="0" u="none" strike="noStrike" baseline="0">
              <a:solidFill>
                <a:srgbClr val="000000"/>
              </a:solidFill>
              <a:latin typeface="Arial"/>
              <a:cs typeface="Arial"/>
            </a:rPr>
            <a:t>Investitions-</a:t>
          </a:r>
        </a:p>
        <a:p>
          <a:pPr algn="l" rtl="0">
            <a:defRPr sz="1000"/>
          </a:pPr>
          <a:r>
            <a:rPr lang="de-CH" sz="1000" b="0" i="0" u="none" strike="noStrike" baseline="0">
              <a:solidFill>
                <a:srgbClr val="000000"/>
              </a:solidFill>
              <a:latin typeface="Arial"/>
              <a:cs typeface="Arial"/>
            </a:rPr>
            <a:t>planung</a:t>
          </a:r>
        </a:p>
      </xdr:txBody>
    </xdr:sp>
    <xdr:clientData/>
  </xdr:twoCellAnchor>
  <xdr:twoCellAnchor>
    <xdr:from>
      <xdr:col>0</xdr:col>
      <xdr:colOff>127000</xdr:colOff>
      <xdr:row>15</xdr:row>
      <xdr:rowOff>57150</xdr:rowOff>
    </xdr:from>
    <xdr:to>
      <xdr:col>1</xdr:col>
      <xdr:colOff>174685</xdr:colOff>
      <xdr:row>19</xdr:row>
      <xdr:rowOff>92138</xdr:rowOff>
    </xdr:to>
    <xdr:sp macro="" textlink="">
      <xdr:nvSpPr>
        <xdr:cNvPr id="3203" name="Text Box 131">
          <a:hlinkClick xmlns:r="http://schemas.openxmlformats.org/officeDocument/2006/relationships" r:id="rId14"/>
          <a:extLst>
            <a:ext uri="{FF2B5EF4-FFF2-40B4-BE49-F238E27FC236}">
              <a16:creationId xmlns:a16="http://schemas.microsoft.com/office/drawing/2014/main" id="{00000000-0008-0000-0200-0000830C0000}"/>
            </a:ext>
          </a:extLst>
        </xdr:cNvPr>
        <xdr:cNvSpPr txBox="1">
          <a:spLocks noChangeArrowheads="1"/>
        </xdr:cNvSpPr>
      </xdr:nvSpPr>
      <xdr:spPr bwMode="auto">
        <a:xfrm>
          <a:off x="127000" y="2781300"/>
          <a:ext cx="933450" cy="6604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8</xdr:row>
      <xdr:rowOff>9525</xdr:rowOff>
    </xdr:from>
    <xdr:to>
      <xdr:col>1</xdr:col>
      <xdr:colOff>28575</xdr:colOff>
      <xdr:row>9</xdr:row>
      <xdr:rowOff>180975</xdr:rowOff>
    </xdr:to>
    <xdr:sp macro="" textlink="">
      <xdr:nvSpPr>
        <xdr:cNvPr id="3236" name="AutoShape 132">
          <a:extLst>
            <a:ext uri="{FF2B5EF4-FFF2-40B4-BE49-F238E27FC236}">
              <a16:creationId xmlns:a16="http://schemas.microsoft.com/office/drawing/2014/main" id="{00000000-0008-0000-0200-0000A40C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14</xdr:row>
      <xdr:rowOff>0</xdr:rowOff>
    </xdr:from>
    <xdr:to>
      <xdr:col>1</xdr:col>
      <xdr:colOff>28575</xdr:colOff>
      <xdr:row>15</xdr:row>
      <xdr:rowOff>57150</xdr:rowOff>
    </xdr:to>
    <xdr:sp macro="" textlink="">
      <xdr:nvSpPr>
        <xdr:cNvPr id="3237" name="AutoShape 133">
          <a:extLst>
            <a:ext uri="{FF2B5EF4-FFF2-40B4-BE49-F238E27FC236}">
              <a16:creationId xmlns:a16="http://schemas.microsoft.com/office/drawing/2014/main" id="{00000000-0008-0000-0200-0000A50C0000}"/>
            </a:ext>
          </a:extLst>
        </xdr:cNvPr>
        <xdr:cNvSpPr>
          <a:spLocks noChangeArrowheads="1"/>
        </xdr:cNvSpPr>
      </xdr:nvSpPr>
      <xdr:spPr bwMode="auto">
        <a:xfrm>
          <a:off x="323850" y="2552700"/>
          <a:ext cx="581025" cy="219075"/>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8272" name="Group 45">
          <a:extLst>
            <a:ext uri="{FF2B5EF4-FFF2-40B4-BE49-F238E27FC236}">
              <a16:creationId xmlns:a16="http://schemas.microsoft.com/office/drawing/2014/main" id="{00000000-0008-0000-0300-000050200000}"/>
            </a:ext>
          </a:extLst>
        </xdr:cNvPr>
        <xdr:cNvGrpSpPr>
          <a:grpSpLocks/>
        </xdr:cNvGrpSpPr>
      </xdr:nvGrpSpPr>
      <xdr:grpSpPr bwMode="auto">
        <a:xfrm>
          <a:off x="123825" y="200025"/>
          <a:ext cx="933450" cy="523875"/>
          <a:chOff x="15" y="21"/>
          <a:chExt cx="110" cy="60"/>
        </a:xfrm>
      </xdr:grpSpPr>
      <xdr:pic>
        <xdr:nvPicPr>
          <xdr:cNvPr id="8287" name="Picture 46" descr="kmu_check_up">
            <a:hlinkClick xmlns:r="http://schemas.openxmlformats.org/officeDocument/2006/relationships" r:id="rId1"/>
            <a:extLst>
              <a:ext uri="{FF2B5EF4-FFF2-40B4-BE49-F238E27FC236}">
                <a16:creationId xmlns:a16="http://schemas.microsoft.com/office/drawing/2014/main" id="{00000000-0008-0000-0300-00005F2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8239" name="Text Box 47">
            <a:extLst>
              <a:ext uri="{FF2B5EF4-FFF2-40B4-BE49-F238E27FC236}">
                <a16:creationId xmlns:a16="http://schemas.microsoft.com/office/drawing/2014/main" id="{00000000-0008-0000-0300-00002F20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29</xdr:row>
      <xdr:rowOff>19050</xdr:rowOff>
    </xdr:from>
    <xdr:to>
      <xdr:col>1</xdr:col>
      <xdr:colOff>184150</xdr:colOff>
      <xdr:row>31</xdr:row>
      <xdr:rowOff>57150</xdr:rowOff>
    </xdr:to>
    <xdr:sp macro="" textlink="">
      <xdr:nvSpPr>
        <xdr:cNvPr id="8240" name="Text Box 48">
          <a:hlinkClick xmlns:r="http://schemas.openxmlformats.org/officeDocument/2006/relationships" r:id="rId3"/>
          <a:extLst>
            <a:ext uri="{FF2B5EF4-FFF2-40B4-BE49-F238E27FC236}">
              <a16:creationId xmlns:a16="http://schemas.microsoft.com/office/drawing/2014/main" id="{00000000-0008-0000-0300-000030200000}"/>
            </a:ext>
          </a:extLst>
        </xdr:cNvPr>
        <xdr:cNvSpPr txBox="1">
          <a:spLocks noChangeArrowheads="1"/>
        </xdr:cNvSpPr>
      </xdr:nvSpPr>
      <xdr:spPr bwMode="auto">
        <a:xfrm>
          <a:off x="127000" y="53340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31</xdr:row>
      <xdr:rowOff>95250</xdr:rowOff>
    </xdr:from>
    <xdr:to>
      <xdr:col>1</xdr:col>
      <xdr:colOff>184150</xdr:colOff>
      <xdr:row>33</xdr:row>
      <xdr:rowOff>133350</xdr:rowOff>
    </xdr:to>
    <xdr:sp macro="" textlink="">
      <xdr:nvSpPr>
        <xdr:cNvPr id="8241" name="Text Box 49">
          <a:hlinkClick xmlns:r="http://schemas.openxmlformats.org/officeDocument/2006/relationships" r:id="rId4"/>
          <a:extLst>
            <a:ext uri="{FF2B5EF4-FFF2-40B4-BE49-F238E27FC236}">
              <a16:creationId xmlns:a16="http://schemas.microsoft.com/office/drawing/2014/main" id="{00000000-0008-0000-0300-000031200000}"/>
            </a:ext>
          </a:extLst>
        </xdr:cNvPr>
        <xdr:cNvSpPr txBox="1">
          <a:spLocks noChangeArrowheads="1"/>
        </xdr:cNvSpPr>
      </xdr:nvSpPr>
      <xdr:spPr bwMode="auto">
        <a:xfrm>
          <a:off x="127000" y="572770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34</xdr:row>
      <xdr:rowOff>6350</xdr:rowOff>
    </xdr:from>
    <xdr:to>
      <xdr:col>1</xdr:col>
      <xdr:colOff>184150</xdr:colOff>
      <xdr:row>36</xdr:row>
      <xdr:rowOff>44450</xdr:rowOff>
    </xdr:to>
    <xdr:sp macro="" textlink="">
      <xdr:nvSpPr>
        <xdr:cNvPr id="8242" name="Text Box 50">
          <a:hlinkClick xmlns:r="http://schemas.openxmlformats.org/officeDocument/2006/relationships" r:id="rId5"/>
          <a:extLst>
            <a:ext uri="{FF2B5EF4-FFF2-40B4-BE49-F238E27FC236}">
              <a16:creationId xmlns:a16="http://schemas.microsoft.com/office/drawing/2014/main" id="{00000000-0008-0000-0300-000032200000}"/>
            </a:ext>
          </a:extLst>
        </xdr:cNvPr>
        <xdr:cNvSpPr txBox="1">
          <a:spLocks noChangeArrowheads="1"/>
        </xdr:cNvSpPr>
      </xdr:nvSpPr>
      <xdr:spPr bwMode="auto">
        <a:xfrm>
          <a:off x="127000" y="6121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36</xdr:row>
      <xdr:rowOff>82550</xdr:rowOff>
    </xdr:from>
    <xdr:to>
      <xdr:col>1</xdr:col>
      <xdr:colOff>184150</xdr:colOff>
      <xdr:row>38</xdr:row>
      <xdr:rowOff>130261</xdr:rowOff>
    </xdr:to>
    <xdr:sp macro="" textlink="">
      <xdr:nvSpPr>
        <xdr:cNvPr id="8243" name="Text Box 51">
          <a:hlinkClick xmlns:r="http://schemas.openxmlformats.org/officeDocument/2006/relationships" r:id="rId6"/>
          <a:extLst>
            <a:ext uri="{FF2B5EF4-FFF2-40B4-BE49-F238E27FC236}">
              <a16:creationId xmlns:a16="http://schemas.microsoft.com/office/drawing/2014/main" id="{00000000-0008-0000-0300-000033200000}"/>
            </a:ext>
          </a:extLst>
        </xdr:cNvPr>
        <xdr:cNvSpPr txBox="1">
          <a:spLocks noChangeArrowheads="1"/>
        </xdr:cNvSpPr>
      </xdr:nvSpPr>
      <xdr:spPr bwMode="auto">
        <a:xfrm>
          <a:off x="127000" y="65151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39</xdr:row>
      <xdr:rowOff>0</xdr:rowOff>
    </xdr:from>
    <xdr:to>
      <xdr:col>1</xdr:col>
      <xdr:colOff>184150</xdr:colOff>
      <xdr:row>41</xdr:row>
      <xdr:rowOff>38100</xdr:rowOff>
    </xdr:to>
    <xdr:sp macro="" textlink="">
      <xdr:nvSpPr>
        <xdr:cNvPr id="8244" name="Text Box 52">
          <a:hlinkClick xmlns:r="http://schemas.openxmlformats.org/officeDocument/2006/relationships" r:id="rId7"/>
          <a:extLst>
            <a:ext uri="{FF2B5EF4-FFF2-40B4-BE49-F238E27FC236}">
              <a16:creationId xmlns:a16="http://schemas.microsoft.com/office/drawing/2014/main" id="{00000000-0008-0000-0300-000034200000}"/>
            </a:ext>
          </a:extLst>
        </xdr:cNvPr>
        <xdr:cNvSpPr txBox="1">
          <a:spLocks noChangeArrowheads="1"/>
        </xdr:cNvSpPr>
      </xdr:nvSpPr>
      <xdr:spPr bwMode="auto">
        <a:xfrm>
          <a:off x="127000" y="6908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17</xdr:row>
      <xdr:rowOff>114300</xdr:rowOff>
    </xdr:from>
    <xdr:to>
      <xdr:col>1</xdr:col>
      <xdr:colOff>184150</xdr:colOff>
      <xdr:row>19</xdr:row>
      <xdr:rowOff>152400</xdr:rowOff>
    </xdr:to>
    <xdr:sp macro="" textlink="">
      <xdr:nvSpPr>
        <xdr:cNvPr id="8245" name="Text Box 53">
          <a:hlinkClick xmlns:r="http://schemas.openxmlformats.org/officeDocument/2006/relationships" r:id="rId8"/>
          <a:extLst>
            <a:ext uri="{FF2B5EF4-FFF2-40B4-BE49-F238E27FC236}">
              <a16:creationId xmlns:a16="http://schemas.microsoft.com/office/drawing/2014/main" id="{00000000-0008-0000-0300-000035200000}"/>
            </a:ext>
          </a:extLst>
        </xdr:cNvPr>
        <xdr:cNvSpPr txBox="1">
          <a:spLocks noChangeArrowheads="1"/>
        </xdr:cNvSpPr>
      </xdr:nvSpPr>
      <xdr:spPr bwMode="auto">
        <a:xfrm>
          <a:off x="127000" y="36449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20</xdr:row>
      <xdr:rowOff>25400</xdr:rowOff>
    </xdr:from>
    <xdr:to>
      <xdr:col>1</xdr:col>
      <xdr:colOff>184150</xdr:colOff>
      <xdr:row>23</xdr:row>
      <xdr:rowOff>69850</xdr:rowOff>
    </xdr:to>
    <xdr:sp macro="" textlink="">
      <xdr:nvSpPr>
        <xdr:cNvPr id="8246" name="Text Box 54">
          <a:hlinkClick xmlns:r="http://schemas.openxmlformats.org/officeDocument/2006/relationships" r:id="rId9"/>
          <a:extLst>
            <a:ext uri="{FF2B5EF4-FFF2-40B4-BE49-F238E27FC236}">
              <a16:creationId xmlns:a16="http://schemas.microsoft.com/office/drawing/2014/main" id="{00000000-0008-0000-0300-000036200000}"/>
            </a:ext>
          </a:extLst>
        </xdr:cNvPr>
        <xdr:cNvSpPr txBox="1">
          <a:spLocks noChangeArrowheads="1"/>
        </xdr:cNvSpPr>
      </xdr:nvSpPr>
      <xdr:spPr bwMode="auto">
        <a:xfrm>
          <a:off x="127000" y="4038600"/>
          <a:ext cx="933450" cy="3683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23</xdr:row>
      <xdr:rowOff>107950</xdr:rowOff>
    </xdr:from>
    <xdr:to>
      <xdr:col>1</xdr:col>
      <xdr:colOff>184150</xdr:colOff>
      <xdr:row>25</xdr:row>
      <xdr:rowOff>146050</xdr:rowOff>
    </xdr:to>
    <xdr:sp macro="" textlink="">
      <xdr:nvSpPr>
        <xdr:cNvPr id="8247" name="Text Box 55">
          <a:hlinkClick xmlns:r="http://schemas.openxmlformats.org/officeDocument/2006/relationships" r:id="rId10"/>
          <a:extLst>
            <a:ext uri="{FF2B5EF4-FFF2-40B4-BE49-F238E27FC236}">
              <a16:creationId xmlns:a16="http://schemas.microsoft.com/office/drawing/2014/main" id="{00000000-0008-0000-0300-000037200000}"/>
            </a:ext>
          </a:extLst>
        </xdr:cNvPr>
        <xdr:cNvSpPr txBox="1">
          <a:spLocks noChangeArrowheads="1"/>
        </xdr:cNvSpPr>
      </xdr:nvSpPr>
      <xdr:spPr bwMode="auto">
        <a:xfrm>
          <a:off x="127000" y="4445000"/>
          <a:ext cx="933450" cy="3683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26</xdr:row>
      <xdr:rowOff>19050</xdr:rowOff>
    </xdr:from>
    <xdr:to>
      <xdr:col>1</xdr:col>
      <xdr:colOff>184150</xdr:colOff>
      <xdr:row>28</xdr:row>
      <xdr:rowOff>57150</xdr:rowOff>
    </xdr:to>
    <xdr:sp macro="" textlink="">
      <xdr:nvSpPr>
        <xdr:cNvPr id="8248" name="Text Box 56">
          <a:hlinkClick xmlns:r="http://schemas.openxmlformats.org/officeDocument/2006/relationships" r:id="rId11"/>
          <a:extLst>
            <a:ext uri="{FF2B5EF4-FFF2-40B4-BE49-F238E27FC236}">
              <a16:creationId xmlns:a16="http://schemas.microsoft.com/office/drawing/2014/main" id="{00000000-0008-0000-0300-000038200000}"/>
            </a:ext>
          </a:extLst>
        </xdr:cNvPr>
        <xdr:cNvSpPr txBox="1">
          <a:spLocks noChangeArrowheads="1"/>
        </xdr:cNvSpPr>
      </xdr:nvSpPr>
      <xdr:spPr bwMode="auto">
        <a:xfrm>
          <a:off x="127000" y="4851400"/>
          <a:ext cx="933450" cy="3619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7</xdr:row>
      <xdr:rowOff>438150</xdr:rowOff>
    </xdr:to>
    <xdr:sp macro="" textlink="">
      <xdr:nvSpPr>
        <xdr:cNvPr id="8250" name="Text Box 58">
          <a:hlinkClick xmlns:r="http://schemas.openxmlformats.org/officeDocument/2006/relationships" r:id="rId12"/>
          <a:extLst>
            <a:ext uri="{FF2B5EF4-FFF2-40B4-BE49-F238E27FC236}">
              <a16:creationId xmlns:a16="http://schemas.microsoft.com/office/drawing/2014/main" id="{00000000-0008-0000-0300-00003A200000}"/>
            </a:ext>
          </a:extLst>
        </xdr:cNvPr>
        <xdr:cNvSpPr txBox="1">
          <a:spLocks noChangeArrowheads="1"/>
        </xdr:cNvSpPr>
      </xdr:nvSpPr>
      <xdr:spPr bwMode="auto">
        <a:xfrm>
          <a:off x="127000" y="781050"/>
          <a:ext cx="933450" cy="831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8</xdr:row>
      <xdr:rowOff>31750</xdr:rowOff>
    </xdr:from>
    <xdr:to>
      <xdr:col>1</xdr:col>
      <xdr:colOff>184150</xdr:colOff>
      <xdr:row>11</xdr:row>
      <xdr:rowOff>209550</xdr:rowOff>
    </xdr:to>
    <xdr:sp macro="" textlink="">
      <xdr:nvSpPr>
        <xdr:cNvPr id="8251" name="Text Box 59">
          <a:hlinkClick xmlns:r="http://schemas.openxmlformats.org/officeDocument/2006/relationships" r:id="rId13"/>
          <a:extLst>
            <a:ext uri="{FF2B5EF4-FFF2-40B4-BE49-F238E27FC236}">
              <a16:creationId xmlns:a16="http://schemas.microsoft.com/office/drawing/2014/main" id="{00000000-0008-0000-0300-00003B200000}"/>
            </a:ext>
          </a:extLst>
        </xdr:cNvPr>
        <xdr:cNvSpPr txBox="1">
          <a:spLocks noChangeArrowheads="1"/>
        </xdr:cNvSpPr>
      </xdr:nvSpPr>
      <xdr:spPr bwMode="auto">
        <a:xfrm>
          <a:off x="127000" y="1841500"/>
          <a:ext cx="933450" cy="7302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12</xdr:row>
      <xdr:rowOff>50800</xdr:rowOff>
    </xdr:from>
    <xdr:to>
      <xdr:col>1</xdr:col>
      <xdr:colOff>184150</xdr:colOff>
      <xdr:row>16</xdr:row>
      <xdr:rowOff>133350</xdr:rowOff>
    </xdr:to>
    <xdr:sp macro="" textlink="">
      <xdr:nvSpPr>
        <xdr:cNvPr id="8252" name="Text Box 60" descr="50%">
          <a:hlinkClick xmlns:r="http://schemas.openxmlformats.org/officeDocument/2006/relationships" r:id="rId14"/>
          <a:extLst>
            <a:ext uri="{FF2B5EF4-FFF2-40B4-BE49-F238E27FC236}">
              <a16:creationId xmlns:a16="http://schemas.microsoft.com/office/drawing/2014/main" id="{00000000-0008-0000-0300-00003C200000}"/>
            </a:ext>
          </a:extLst>
        </xdr:cNvPr>
        <xdr:cNvSpPr txBox="1">
          <a:spLocks noChangeArrowheads="1"/>
        </xdr:cNvSpPr>
      </xdr:nvSpPr>
      <xdr:spPr bwMode="auto">
        <a:xfrm>
          <a:off x="127000" y="2870200"/>
          <a:ext cx="933450" cy="628650"/>
        </a:xfrm>
        <a:prstGeom prst="rect">
          <a:avLst/>
        </a:prstGeom>
        <a:pattFill prst="pct50">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0064AA" mc:Ignorable="a14" a14:legacySpreadsheetColorIndex="18"/>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Finanzierungs-</a:t>
          </a:r>
        </a:p>
        <a:p>
          <a:pPr algn="l" rtl="0">
            <a:lnSpc>
              <a:spcPts val="1000"/>
            </a:lnSpc>
            <a:defRPr sz="1000"/>
          </a:pPr>
          <a:r>
            <a:rPr lang="de-CH" sz="1000" b="0" i="0" u="none" strike="noStrike" baseline="0">
              <a:solidFill>
                <a:srgbClr val="000000"/>
              </a:solidFill>
              <a:latin typeface="Arial"/>
              <a:cs typeface="Arial"/>
            </a:rPr>
            <a:t>planung</a:t>
          </a:r>
        </a:p>
      </xdr:txBody>
    </xdr:sp>
    <xdr:clientData/>
  </xdr:twoCellAnchor>
  <xdr:twoCellAnchor>
    <xdr:from>
      <xdr:col>0</xdr:col>
      <xdr:colOff>323850</xdr:colOff>
      <xdr:row>7</xdr:row>
      <xdr:rowOff>438150</xdr:rowOff>
    </xdr:from>
    <xdr:to>
      <xdr:col>1</xdr:col>
      <xdr:colOff>28575</xdr:colOff>
      <xdr:row>8</xdr:row>
      <xdr:rowOff>28575</xdr:rowOff>
    </xdr:to>
    <xdr:sp macro="" textlink="">
      <xdr:nvSpPr>
        <xdr:cNvPr id="8285" name="AutoShape 61">
          <a:extLst>
            <a:ext uri="{FF2B5EF4-FFF2-40B4-BE49-F238E27FC236}">
              <a16:creationId xmlns:a16="http://schemas.microsoft.com/office/drawing/2014/main" id="{00000000-0008-0000-0300-00005D20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11</xdr:row>
      <xdr:rowOff>209550</xdr:rowOff>
    </xdr:from>
    <xdr:to>
      <xdr:col>1</xdr:col>
      <xdr:colOff>28575</xdr:colOff>
      <xdr:row>12</xdr:row>
      <xdr:rowOff>123825</xdr:rowOff>
    </xdr:to>
    <xdr:sp macro="" textlink="">
      <xdr:nvSpPr>
        <xdr:cNvPr id="8286" name="AutoShape 62">
          <a:extLst>
            <a:ext uri="{FF2B5EF4-FFF2-40B4-BE49-F238E27FC236}">
              <a16:creationId xmlns:a16="http://schemas.microsoft.com/office/drawing/2014/main" id="{00000000-0008-0000-0300-00005E200000}"/>
            </a:ext>
          </a:extLst>
        </xdr:cNvPr>
        <xdr:cNvSpPr>
          <a:spLocks noChangeArrowheads="1"/>
        </xdr:cNvSpPr>
      </xdr:nvSpPr>
      <xdr:spPr bwMode="auto">
        <a:xfrm>
          <a:off x="323850" y="2571750"/>
          <a:ext cx="581025" cy="28575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9289" name="Group 38">
          <a:extLst>
            <a:ext uri="{FF2B5EF4-FFF2-40B4-BE49-F238E27FC236}">
              <a16:creationId xmlns:a16="http://schemas.microsoft.com/office/drawing/2014/main" id="{00000000-0008-0000-0400-000049240000}"/>
            </a:ext>
          </a:extLst>
        </xdr:cNvPr>
        <xdr:cNvGrpSpPr>
          <a:grpSpLocks/>
        </xdr:cNvGrpSpPr>
      </xdr:nvGrpSpPr>
      <xdr:grpSpPr bwMode="auto">
        <a:xfrm>
          <a:off x="123825" y="202293"/>
          <a:ext cx="930275" cy="523421"/>
          <a:chOff x="15" y="21"/>
          <a:chExt cx="110" cy="60"/>
        </a:xfrm>
      </xdr:grpSpPr>
      <xdr:pic>
        <xdr:nvPicPr>
          <xdr:cNvPr id="9304" name="Picture 39" descr="kmu_check_up">
            <a:hlinkClick xmlns:r="http://schemas.openxmlformats.org/officeDocument/2006/relationships" r:id="rId1"/>
            <a:extLst>
              <a:ext uri="{FF2B5EF4-FFF2-40B4-BE49-F238E27FC236}">
                <a16:creationId xmlns:a16="http://schemas.microsoft.com/office/drawing/2014/main" id="{00000000-0008-0000-0400-0000582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9256" name="Text Box 40">
            <a:extLst>
              <a:ext uri="{FF2B5EF4-FFF2-40B4-BE49-F238E27FC236}">
                <a16:creationId xmlns:a16="http://schemas.microsoft.com/office/drawing/2014/main" id="{00000000-0008-0000-0400-0000282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31</xdr:row>
      <xdr:rowOff>120650</xdr:rowOff>
    </xdr:from>
    <xdr:to>
      <xdr:col>1</xdr:col>
      <xdr:colOff>184150</xdr:colOff>
      <xdr:row>33</xdr:row>
      <xdr:rowOff>159027</xdr:rowOff>
    </xdr:to>
    <xdr:sp macro="" textlink="">
      <xdr:nvSpPr>
        <xdr:cNvPr id="9257" name="Text Box 41">
          <a:hlinkClick xmlns:r="http://schemas.openxmlformats.org/officeDocument/2006/relationships" r:id="rId3"/>
          <a:extLst>
            <a:ext uri="{FF2B5EF4-FFF2-40B4-BE49-F238E27FC236}">
              <a16:creationId xmlns:a16="http://schemas.microsoft.com/office/drawing/2014/main" id="{00000000-0008-0000-0400-000029240000}"/>
            </a:ext>
          </a:extLst>
        </xdr:cNvPr>
        <xdr:cNvSpPr txBox="1">
          <a:spLocks noChangeArrowheads="1"/>
        </xdr:cNvSpPr>
      </xdr:nvSpPr>
      <xdr:spPr bwMode="auto">
        <a:xfrm>
          <a:off x="127000" y="52324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0</xdr:rowOff>
    </xdr:from>
    <xdr:to>
      <xdr:col>1</xdr:col>
      <xdr:colOff>184150</xdr:colOff>
      <xdr:row>36</xdr:row>
      <xdr:rowOff>38100</xdr:rowOff>
    </xdr:to>
    <xdr:sp macro="" textlink="">
      <xdr:nvSpPr>
        <xdr:cNvPr id="9258" name="Text Box 42">
          <a:hlinkClick xmlns:r="http://schemas.openxmlformats.org/officeDocument/2006/relationships" r:id="rId4"/>
          <a:extLst>
            <a:ext uri="{FF2B5EF4-FFF2-40B4-BE49-F238E27FC236}">
              <a16:creationId xmlns:a16="http://schemas.microsoft.com/office/drawing/2014/main" id="{00000000-0008-0000-0400-00002A240000}"/>
            </a:ext>
          </a:extLst>
        </xdr:cNvPr>
        <xdr:cNvSpPr txBox="1">
          <a:spLocks noChangeArrowheads="1"/>
        </xdr:cNvSpPr>
      </xdr:nvSpPr>
      <xdr:spPr bwMode="auto">
        <a:xfrm>
          <a:off x="127000" y="56197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36</xdr:row>
      <xdr:rowOff>76200</xdr:rowOff>
    </xdr:from>
    <xdr:to>
      <xdr:col>1</xdr:col>
      <xdr:colOff>184150</xdr:colOff>
      <xdr:row>38</xdr:row>
      <xdr:rowOff>114300</xdr:rowOff>
    </xdr:to>
    <xdr:sp macro="" textlink="">
      <xdr:nvSpPr>
        <xdr:cNvPr id="9259" name="Text Box 43">
          <a:hlinkClick xmlns:r="http://schemas.openxmlformats.org/officeDocument/2006/relationships" r:id="rId5"/>
          <a:extLst>
            <a:ext uri="{FF2B5EF4-FFF2-40B4-BE49-F238E27FC236}">
              <a16:creationId xmlns:a16="http://schemas.microsoft.com/office/drawing/2014/main" id="{00000000-0008-0000-0400-00002B240000}"/>
            </a:ext>
          </a:extLst>
        </xdr:cNvPr>
        <xdr:cNvSpPr txBox="1">
          <a:spLocks noChangeArrowheads="1"/>
        </xdr:cNvSpPr>
      </xdr:nvSpPr>
      <xdr:spPr bwMode="auto">
        <a:xfrm>
          <a:off x="127000" y="60134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38</xdr:row>
      <xdr:rowOff>152400</xdr:rowOff>
    </xdr:from>
    <xdr:to>
      <xdr:col>1</xdr:col>
      <xdr:colOff>184150</xdr:colOff>
      <xdr:row>41</xdr:row>
      <xdr:rowOff>35101</xdr:rowOff>
    </xdr:to>
    <xdr:sp macro="" textlink="">
      <xdr:nvSpPr>
        <xdr:cNvPr id="9260" name="Text Box 44">
          <a:hlinkClick xmlns:r="http://schemas.openxmlformats.org/officeDocument/2006/relationships" r:id="rId6"/>
          <a:extLst>
            <a:ext uri="{FF2B5EF4-FFF2-40B4-BE49-F238E27FC236}">
              <a16:creationId xmlns:a16="http://schemas.microsoft.com/office/drawing/2014/main" id="{00000000-0008-0000-0400-00002C240000}"/>
            </a:ext>
          </a:extLst>
        </xdr:cNvPr>
        <xdr:cNvSpPr txBox="1">
          <a:spLocks noChangeArrowheads="1"/>
        </xdr:cNvSpPr>
      </xdr:nvSpPr>
      <xdr:spPr bwMode="auto">
        <a:xfrm>
          <a:off x="127000" y="640715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73025</xdr:rowOff>
    </xdr:from>
    <xdr:to>
      <xdr:col>1</xdr:col>
      <xdr:colOff>184150</xdr:colOff>
      <xdr:row>43</xdr:row>
      <xdr:rowOff>101767</xdr:rowOff>
    </xdr:to>
    <xdr:sp macro="" textlink="">
      <xdr:nvSpPr>
        <xdr:cNvPr id="9261" name="Text Box 45">
          <a:hlinkClick xmlns:r="http://schemas.openxmlformats.org/officeDocument/2006/relationships" r:id="rId7"/>
          <a:extLst>
            <a:ext uri="{FF2B5EF4-FFF2-40B4-BE49-F238E27FC236}">
              <a16:creationId xmlns:a16="http://schemas.microsoft.com/office/drawing/2014/main" id="{00000000-0008-0000-0400-00002D240000}"/>
            </a:ext>
          </a:extLst>
        </xdr:cNvPr>
        <xdr:cNvSpPr txBox="1">
          <a:spLocks noChangeArrowheads="1"/>
        </xdr:cNvSpPr>
      </xdr:nvSpPr>
      <xdr:spPr bwMode="auto">
        <a:xfrm>
          <a:off x="127000" y="67945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57150</xdr:rowOff>
    </xdr:from>
    <xdr:to>
      <xdr:col>1</xdr:col>
      <xdr:colOff>184150</xdr:colOff>
      <xdr:row>23</xdr:row>
      <xdr:rowOff>95250</xdr:rowOff>
    </xdr:to>
    <xdr:sp macro="" textlink="">
      <xdr:nvSpPr>
        <xdr:cNvPr id="9262" name="Text Box 46" descr="50%">
          <a:hlinkClick xmlns:r="http://schemas.openxmlformats.org/officeDocument/2006/relationships" r:id="rId8"/>
          <a:extLst>
            <a:ext uri="{FF2B5EF4-FFF2-40B4-BE49-F238E27FC236}">
              <a16:creationId xmlns:a16="http://schemas.microsoft.com/office/drawing/2014/main" id="{00000000-0008-0000-0400-00002E240000}"/>
            </a:ext>
          </a:extLst>
        </xdr:cNvPr>
        <xdr:cNvSpPr txBox="1">
          <a:spLocks noChangeArrowheads="1"/>
        </xdr:cNvSpPr>
      </xdr:nvSpPr>
      <xdr:spPr bwMode="auto">
        <a:xfrm>
          <a:off x="127000" y="356870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Planbilanz</a:t>
          </a:r>
        </a:p>
      </xdr:txBody>
    </xdr:sp>
    <xdr:clientData/>
  </xdr:twoCellAnchor>
  <xdr:twoCellAnchor>
    <xdr:from>
      <xdr:col>0</xdr:col>
      <xdr:colOff>127000</xdr:colOff>
      <xdr:row>23</xdr:row>
      <xdr:rowOff>133350</xdr:rowOff>
    </xdr:from>
    <xdr:to>
      <xdr:col>1</xdr:col>
      <xdr:colOff>184150</xdr:colOff>
      <xdr:row>26</xdr:row>
      <xdr:rowOff>6350</xdr:rowOff>
    </xdr:to>
    <xdr:sp macro="" textlink="">
      <xdr:nvSpPr>
        <xdr:cNvPr id="9263" name="Text Box 47">
          <a:hlinkClick xmlns:r="http://schemas.openxmlformats.org/officeDocument/2006/relationships" r:id="rId9"/>
          <a:extLst>
            <a:ext uri="{FF2B5EF4-FFF2-40B4-BE49-F238E27FC236}">
              <a16:creationId xmlns:a16="http://schemas.microsoft.com/office/drawing/2014/main" id="{00000000-0008-0000-0400-00002F240000}"/>
            </a:ext>
          </a:extLst>
        </xdr:cNvPr>
        <xdr:cNvSpPr txBox="1">
          <a:spLocks noChangeArrowheads="1"/>
        </xdr:cNvSpPr>
      </xdr:nvSpPr>
      <xdr:spPr bwMode="auto">
        <a:xfrm>
          <a:off x="127000" y="3962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44450</xdr:rowOff>
    </xdr:from>
    <xdr:to>
      <xdr:col>1</xdr:col>
      <xdr:colOff>184150</xdr:colOff>
      <xdr:row>28</xdr:row>
      <xdr:rowOff>79375</xdr:rowOff>
    </xdr:to>
    <xdr:sp macro="" textlink="">
      <xdr:nvSpPr>
        <xdr:cNvPr id="9264" name="Text Box 48">
          <a:hlinkClick xmlns:r="http://schemas.openxmlformats.org/officeDocument/2006/relationships" r:id="rId10"/>
          <a:extLst>
            <a:ext uri="{FF2B5EF4-FFF2-40B4-BE49-F238E27FC236}">
              <a16:creationId xmlns:a16="http://schemas.microsoft.com/office/drawing/2014/main" id="{00000000-0008-0000-0400-000030240000}"/>
            </a:ext>
          </a:extLst>
        </xdr:cNvPr>
        <xdr:cNvSpPr txBox="1">
          <a:spLocks noChangeArrowheads="1"/>
        </xdr:cNvSpPr>
      </xdr:nvSpPr>
      <xdr:spPr bwMode="auto">
        <a:xfrm>
          <a:off x="127000" y="4356100"/>
          <a:ext cx="933450" cy="3619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28</xdr:row>
      <xdr:rowOff>117475</xdr:rowOff>
    </xdr:from>
    <xdr:to>
      <xdr:col>1</xdr:col>
      <xdr:colOff>184150</xdr:colOff>
      <xdr:row>31</xdr:row>
      <xdr:rowOff>176</xdr:rowOff>
    </xdr:to>
    <xdr:sp macro="" textlink="">
      <xdr:nvSpPr>
        <xdr:cNvPr id="9265" name="Text Box 49">
          <a:hlinkClick xmlns:r="http://schemas.openxmlformats.org/officeDocument/2006/relationships" r:id="rId11"/>
          <a:extLst>
            <a:ext uri="{FF2B5EF4-FFF2-40B4-BE49-F238E27FC236}">
              <a16:creationId xmlns:a16="http://schemas.microsoft.com/office/drawing/2014/main" id="{00000000-0008-0000-0400-00003124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9</xdr:row>
      <xdr:rowOff>34978</xdr:rowOff>
    </xdr:to>
    <xdr:sp macro="" textlink="">
      <xdr:nvSpPr>
        <xdr:cNvPr id="9267" name="Text Box 51">
          <a:hlinkClick xmlns:r="http://schemas.openxmlformats.org/officeDocument/2006/relationships" r:id="rId12"/>
          <a:extLst>
            <a:ext uri="{FF2B5EF4-FFF2-40B4-BE49-F238E27FC236}">
              <a16:creationId xmlns:a16="http://schemas.microsoft.com/office/drawing/2014/main" id="{00000000-0008-0000-0400-000033240000}"/>
            </a:ext>
          </a:extLst>
        </xdr:cNvPr>
        <xdr:cNvSpPr txBox="1">
          <a:spLocks noChangeArrowheads="1"/>
        </xdr:cNvSpPr>
      </xdr:nvSpPr>
      <xdr:spPr bwMode="auto">
        <a:xfrm>
          <a:off x="127000" y="787400"/>
          <a:ext cx="933450" cy="7937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95250</xdr:rowOff>
    </xdr:from>
    <xdr:to>
      <xdr:col>1</xdr:col>
      <xdr:colOff>184150</xdr:colOff>
      <xdr:row>15</xdr:row>
      <xdr:rowOff>15875</xdr:rowOff>
    </xdr:to>
    <xdr:sp macro="" textlink="">
      <xdr:nvSpPr>
        <xdr:cNvPr id="9268" name="Text Box 52">
          <a:hlinkClick xmlns:r="http://schemas.openxmlformats.org/officeDocument/2006/relationships" r:id="rId13"/>
          <a:extLst>
            <a:ext uri="{FF2B5EF4-FFF2-40B4-BE49-F238E27FC236}">
              <a16:creationId xmlns:a16="http://schemas.microsoft.com/office/drawing/2014/main" id="{00000000-0008-0000-0400-000034240000}"/>
            </a:ext>
          </a:extLst>
        </xdr:cNvPr>
        <xdr:cNvSpPr txBox="1">
          <a:spLocks noChangeArrowheads="1"/>
        </xdr:cNvSpPr>
      </xdr:nvSpPr>
      <xdr:spPr bwMode="auto">
        <a:xfrm>
          <a:off x="127000" y="18097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Geschäfts-</a:t>
          </a:r>
        </a:p>
        <a:p>
          <a:pPr algn="l" rtl="0">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76200</xdr:rowOff>
    </xdr:from>
    <xdr:to>
      <xdr:col>1</xdr:col>
      <xdr:colOff>184150</xdr:colOff>
      <xdr:row>20</xdr:row>
      <xdr:rowOff>95250</xdr:rowOff>
    </xdr:to>
    <xdr:sp macro="" textlink="">
      <xdr:nvSpPr>
        <xdr:cNvPr id="9269" name="Text Box 53">
          <a:hlinkClick xmlns:r="http://schemas.openxmlformats.org/officeDocument/2006/relationships" r:id="rId14"/>
          <a:extLst>
            <a:ext uri="{FF2B5EF4-FFF2-40B4-BE49-F238E27FC236}">
              <a16:creationId xmlns:a16="http://schemas.microsoft.com/office/drawing/2014/main" id="{00000000-0008-0000-0400-000035240000}"/>
            </a:ext>
          </a:extLst>
        </xdr:cNvPr>
        <xdr:cNvSpPr txBox="1">
          <a:spLocks noChangeArrowheads="1"/>
        </xdr:cNvSpPr>
      </xdr:nvSpPr>
      <xdr:spPr bwMode="auto">
        <a:xfrm>
          <a:off x="127000" y="2749550"/>
          <a:ext cx="933450" cy="6985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28575</xdr:rowOff>
    </xdr:from>
    <xdr:to>
      <xdr:col>1</xdr:col>
      <xdr:colOff>28575</xdr:colOff>
      <xdr:row>10</xdr:row>
      <xdr:rowOff>95250</xdr:rowOff>
    </xdr:to>
    <xdr:sp macro="" textlink="">
      <xdr:nvSpPr>
        <xdr:cNvPr id="9302" name="AutoShape 54">
          <a:extLst>
            <a:ext uri="{FF2B5EF4-FFF2-40B4-BE49-F238E27FC236}">
              <a16:creationId xmlns:a16="http://schemas.microsoft.com/office/drawing/2014/main" id="{00000000-0008-0000-0400-00005624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9525</xdr:rowOff>
    </xdr:from>
    <xdr:to>
      <xdr:col>1</xdr:col>
      <xdr:colOff>28575</xdr:colOff>
      <xdr:row>16</xdr:row>
      <xdr:rowOff>76200</xdr:rowOff>
    </xdr:to>
    <xdr:sp macro="" textlink="">
      <xdr:nvSpPr>
        <xdr:cNvPr id="9303" name="AutoShape 55">
          <a:extLst>
            <a:ext uri="{FF2B5EF4-FFF2-40B4-BE49-F238E27FC236}">
              <a16:creationId xmlns:a16="http://schemas.microsoft.com/office/drawing/2014/main" id="{00000000-0008-0000-0400-000057240000}"/>
            </a:ext>
          </a:extLst>
        </xdr:cNvPr>
        <xdr:cNvSpPr>
          <a:spLocks noChangeArrowheads="1"/>
        </xdr:cNvSpPr>
      </xdr:nvSpPr>
      <xdr:spPr bwMode="auto">
        <a:xfrm>
          <a:off x="323850" y="25717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4170" name="Group 39">
          <a:extLst>
            <a:ext uri="{FF2B5EF4-FFF2-40B4-BE49-F238E27FC236}">
              <a16:creationId xmlns:a16="http://schemas.microsoft.com/office/drawing/2014/main" id="{00000000-0008-0000-0500-00004A100000}"/>
            </a:ext>
          </a:extLst>
        </xdr:cNvPr>
        <xdr:cNvGrpSpPr>
          <a:grpSpLocks/>
        </xdr:cNvGrpSpPr>
      </xdr:nvGrpSpPr>
      <xdr:grpSpPr bwMode="auto">
        <a:xfrm>
          <a:off x="123825" y="211818"/>
          <a:ext cx="930275" cy="523421"/>
          <a:chOff x="15" y="21"/>
          <a:chExt cx="110" cy="60"/>
        </a:xfrm>
      </xdr:grpSpPr>
      <xdr:pic>
        <xdr:nvPicPr>
          <xdr:cNvPr id="4185" name="Picture 40" descr="kmu_check_up">
            <a:hlinkClick xmlns:r="http://schemas.openxmlformats.org/officeDocument/2006/relationships" r:id="rId1"/>
            <a:extLst>
              <a:ext uri="{FF2B5EF4-FFF2-40B4-BE49-F238E27FC236}">
                <a16:creationId xmlns:a16="http://schemas.microsoft.com/office/drawing/2014/main" id="{00000000-0008-0000-0500-0000591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4137" name="Text Box 41">
            <a:extLst>
              <a:ext uri="{FF2B5EF4-FFF2-40B4-BE49-F238E27FC236}">
                <a16:creationId xmlns:a16="http://schemas.microsoft.com/office/drawing/2014/main" id="{00000000-0008-0000-0500-00002910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33</xdr:row>
      <xdr:rowOff>0</xdr:rowOff>
    </xdr:from>
    <xdr:to>
      <xdr:col>1</xdr:col>
      <xdr:colOff>184150</xdr:colOff>
      <xdr:row>35</xdr:row>
      <xdr:rowOff>38100</xdr:rowOff>
    </xdr:to>
    <xdr:sp macro="" textlink="">
      <xdr:nvSpPr>
        <xdr:cNvPr id="4138" name="Text Box 42">
          <a:hlinkClick xmlns:r="http://schemas.openxmlformats.org/officeDocument/2006/relationships" r:id="rId3"/>
          <a:extLst>
            <a:ext uri="{FF2B5EF4-FFF2-40B4-BE49-F238E27FC236}">
              <a16:creationId xmlns:a16="http://schemas.microsoft.com/office/drawing/2014/main" id="{00000000-0008-0000-0500-00002A100000}"/>
            </a:ext>
          </a:extLst>
        </xdr:cNvPr>
        <xdr:cNvSpPr txBox="1">
          <a:spLocks noChangeArrowheads="1"/>
        </xdr:cNvSpPr>
      </xdr:nvSpPr>
      <xdr:spPr bwMode="auto">
        <a:xfrm>
          <a:off x="127000" y="5257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35</xdr:row>
      <xdr:rowOff>76200</xdr:rowOff>
    </xdr:from>
    <xdr:to>
      <xdr:col>1</xdr:col>
      <xdr:colOff>184150</xdr:colOff>
      <xdr:row>37</xdr:row>
      <xdr:rowOff>114300</xdr:rowOff>
    </xdr:to>
    <xdr:sp macro="" textlink="">
      <xdr:nvSpPr>
        <xdr:cNvPr id="4139" name="Text Box 43">
          <a:hlinkClick xmlns:r="http://schemas.openxmlformats.org/officeDocument/2006/relationships" r:id="rId4"/>
          <a:extLst>
            <a:ext uri="{FF2B5EF4-FFF2-40B4-BE49-F238E27FC236}">
              <a16:creationId xmlns:a16="http://schemas.microsoft.com/office/drawing/2014/main" id="{00000000-0008-0000-0500-00002B100000}"/>
            </a:ext>
          </a:extLst>
        </xdr:cNvPr>
        <xdr:cNvSpPr txBox="1">
          <a:spLocks noChangeArrowheads="1"/>
        </xdr:cNvSpPr>
      </xdr:nvSpPr>
      <xdr:spPr bwMode="auto">
        <a:xfrm>
          <a:off x="127000" y="56515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152400</xdr:rowOff>
    </xdr:from>
    <xdr:to>
      <xdr:col>1</xdr:col>
      <xdr:colOff>184150</xdr:colOff>
      <xdr:row>40</xdr:row>
      <xdr:rowOff>25400</xdr:rowOff>
    </xdr:to>
    <xdr:sp macro="" textlink="">
      <xdr:nvSpPr>
        <xdr:cNvPr id="4140" name="Text Box 44">
          <a:hlinkClick xmlns:r="http://schemas.openxmlformats.org/officeDocument/2006/relationships" r:id="rId5"/>
          <a:extLst>
            <a:ext uri="{FF2B5EF4-FFF2-40B4-BE49-F238E27FC236}">
              <a16:creationId xmlns:a16="http://schemas.microsoft.com/office/drawing/2014/main" id="{00000000-0008-0000-0500-00002C100000}"/>
            </a:ext>
          </a:extLst>
        </xdr:cNvPr>
        <xdr:cNvSpPr txBox="1">
          <a:spLocks noChangeArrowheads="1"/>
        </xdr:cNvSpPr>
      </xdr:nvSpPr>
      <xdr:spPr bwMode="auto">
        <a:xfrm>
          <a:off x="127000" y="60452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40</xdr:row>
      <xdr:rowOff>63500</xdr:rowOff>
    </xdr:from>
    <xdr:to>
      <xdr:col>1</xdr:col>
      <xdr:colOff>184150</xdr:colOff>
      <xdr:row>42</xdr:row>
      <xdr:rowOff>101600</xdr:rowOff>
    </xdr:to>
    <xdr:sp macro="" textlink="">
      <xdr:nvSpPr>
        <xdr:cNvPr id="4141" name="Text Box 45">
          <a:hlinkClick xmlns:r="http://schemas.openxmlformats.org/officeDocument/2006/relationships" r:id="rId6"/>
          <a:extLst>
            <a:ext uri="{FF2B5EF4-FFF2-40B4-BE49-F238E27FC236}">
              <a16:creationId xmlns:a16="http://schemas.microsoft.com/office/drawing/2014/main" id="{00000000-0008-0000-0500-00002D100000}"/>
            </a:ext>
          </a:extLst>
        </xdr:cNvPr>
        <xdr:cNvSpPr txBox="1">
          <a:spLocks noChangeArrowheads="1"/>
        </xdr:cNvSpPr>
      </xdr:nvSpPr>
      <xdr:spPr bwMode="auto">
        <a:xfrm>
          <a:off x="127000" y="64325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42</xdr:row>
      <xdr:rowOff>139700</xdr:rowOff>
    </xdr:from>
    <xdr:to>
      <xdr:col>1</xdr:col>
      <xdr:colOff>184150</xdr:colOff>
      <xdr:row>45</xdr:row>
      <xdr:rowOff>19050</xdr:rowOff>
    </xdr:to>
    <xdr:sp macro="" textlink="">
      <xdr:nvSpPr>
        <xdr:cNvPr id="4142" name="Text Box 46">
          <a:hlinkClick xmlns:r="http://schemas.openxmlformats.org/officeDocument/2006/relationships" r:id="rId7"/>
          <a:extLst>
            <a:ext uri="{FF2B5EF4-FFF2-40B4-BE49-F238E27FC236}">
              <a16:creationId xmlns:a16="http://schemas.microsoft.com/office/drawing/2014/main" id="{00000000-0008-0000-0500-00002E100000}"/>
            </a:ext>
          </a:extLst>
        </xdr:cNvPr>
        <xdr:cNvSpPr txBox="1">
          <a:spLocks noChangeArrowheads="1"/>
        </xdr:cNvSpPr>
      </xdr:nvSpPr>
      <xdr:spPr bwMode="auto">
        <a:xfrm>
          <a:off x="127000" y="68262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22</xdr:row>
      <xdr:rowOff>114300</xdr:rowOff>
    </xdr:from>
    <xdr:to>
      <xdr:col>1</xdr:col>
      <xdr:colOff>184150</xdr:colOff>
      <xdr:row>24</xdr:row>
      <xdr:rowOff>155751</xdr:rowOff>
    </xdr:to>
    <xdr:sp macro="" textlink="">
      <xdr:nvSpPr>
        <xdr:cNvPr id="4143" name="Text Box 47">
          <a:hlinkClick xmlns:r="http://schemas.openxmlformats.org/officeDocument/2006/relationships" r:id="rId8"/>
          <a:extLst>
            <a:ext uri="{FF2B5EF4-FFF2-40B4-BE49-F238E27FC236}">
              <a16:creationId xmlns:a16="http://schemas.microsoft.com/office/drawing/2014/main" id="{00000000-0008-0000-0500-00002F100000}"/>
            </a:ext>
          </a:extLst>
        </xdr:cNvPr>
        <xdr:cNvSpPr txBox="1">
          <a:spLocks noChangeArrowheads="1"/>
        </xdr:cNvSpPr>
      </xdr:nvSpPr>
      <xdr:spPr bwMode="auto">
        <a:xfrm>
          <a:off x="127000" y="3606800"/>
          <a:ext cx="933450" cy="34925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25</xdr:row>
      <xdr:rowOff>19050</xdr:rowOff>
    </xdr:from>
    <xdr:to>
      <xdr:col>1</xdr:col>
      <xdr:colOff>184150</xdr:colOff>
      <xdr:row>27</xdr:row>
      <xdr:rowOff>44450</xdr:rowOff>
    </xdr:to>
    <xdr:sp macro="" textlink="">
      <xdr:nvSpPr>
        <xdr:cNvPr id="4144" name="Text Box 48" descr="50%">
          <a:hlinkClick xmlns:r="http://schemas.openxmlformats.org/officeDocument/2006/relationships" r:id="rId9"/>
          <a:extLst>
            <a:ext uri="{FF2B5EF4-FFF2-40B4-BE49-F238E27FC236}">
              <a16:creationId xmlns:a16="http://schemas.microsoft.com/office/drawing/2014/main" id="{00000000-0008-0000-0500-000030100000}"/>
            </a:ext>
          </a:extLst>
        </xdr:cNvPr>
        <xdr:cNvSpPr txBox="1">
          <a:spLocks noChangeArrowheads="1"/>
        </xdr:cNvSpPr>
      </xdr:nvSpPr>
      <xdr:spPr bwMode="auto">
        <a:xfrm>
          <a:off x="127000" y="399415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Plan-ER</a:t>
          </a:r>
        </a:p>
      </xdr:txBody>
    </xdr:sp>
    <xdr:clientData/>
  </xdr:twoCellAnchor>
  <xdr:twoCellAnchor>
    <xdr:from>
      <xdr:col>0</xdr:col>
      <xdr:colOff>127000</xdr:colOff>
      <xdr:row>27</xdr:row>
      <xdr:rowOff>82550</xdr:rowOff>
    </xdr:from>
    <xdr:to>
      <xdr:col>1</xdr:col>
      <xdr:colOff>184150</xdr:colOff>
      <xdr:row>29</xdr:row>
      <xdr:rowOff>130261</xdr:rowOff>
    </xdr:to>
    <xdr:sp macro="" textlink="">
      <xdr:nvSpPr>
        <xdr:cNvPr id="4145" name="Text Box 49">
          <a:hlinkClick xmlns:r="http://schemas.openxmlformats.org/officeDocument/2006/relationships" r:id="rId10"/>
          <a:extLst>
            <a:ext uri="{FF2B5EF4-FFF2-40B4-BE49-F238E27FC236}">
              <a16:creationId xmlns:a16="http://schemas.microsoft.com/office/drawing/2014/main" id="{00000000-0008-0000-0500-000031100000}"/>
            </a:ext>
          </a:extLst>
        </xdr:cNvPr>
        <xdr:cNvSpPr txBox="1">
          <a:spLocks noChangeArrowheads="1"/>
        </xdr:cNvSpPr>
      </xdr:nvSpPr>
      <xdr:spPr bwMode="auto">
        <a:xfrm>
          <a:off x="127000" y="43878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30</xdr:row>
      <xdr:rowOff>0</xdr:rowOff>
    </xdr:from>
    <xdr:to>
      <xdr:col>1</xdr:col>
      <xdr:colOff>184150</xdr:colOff>
      <xdr:row>32</xdr:row>
      <xdr:rowOff>38100</xdr:rowOff>
    </xdr:to>
    <xdr:sp macro="" textlink="">
      <xdr:nvSpPr>
        <xdr:cNvPr id="4146" name="Text Box 50">
          <a:hlinkClick xmlns:r="http://schemas.openxmlformats.org/officeDocument/2006/relationships" r:id="rId11"/>
          <a:extLst>
            <a:ext uri="{FF2B5EF4-FFF2-40B4-BE49-F238E27FC236}">
              <a16:creationId xmlns:a16="http://schemas.microsoft.com/office/drawing/2014/main" id="{00000000-0008-0000-0500-000032100000}"/>
            </a:ext>
          </a:extLst>
        </xdr:cNvPr>
        <xdr:cNvSpPr txBox="1">
          <a:spLocks noChangeArrowheads="1"/>
        </xdr:cNvSpPr>
      </xdr:nvSpPr>
      <xdr:spPr bwMode="auto">
        <a:xfrm>
          <a:off x="127000" y="47815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4148" name="Text Box 52">
          <a:hlinkClick xmlns:r="http://schemas.openxmlformats.org/officeDocument/2006/relationships" r:id="rId12"/>
          <a:extLst>
            <a:ext uri="{FF2B5EF4-FFF2-40B4-BE49-F238E27FC236}">
              <a16:creationId xmlns:a16="http://schemas.microsoft.com/office/drawing/2014/main" id="{00000000-0008-0000-0500-00003410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4149" name="Text Box 53">
          <a:hlinkClick xmlns:r="http://schemas.openxmlformats.org/officeDocument/2006/relationships" r:id="rId13"/>
          <a:extLst>
            <a:ext uri="{FF2B5EF4-FFF2-40B4-BE49-F238E27FC236}">
              <a16:creationId xmlns:a16="http://schemas.microsoft.com/office/drawing/2014/main" id="{00000000-0008-0000-0500-000035100000}"/>
            </a:ext>
          </a:extLst>
        </xdr:cNvPr>
        <xdr:cNvSpPr txBox="1">
          <a:spLocks noChangeArrowheads="1"/>
        </xdr:cNvSpPr>
      </xdr:nvSpPr>
      <xdr:spPr bwMode="auto">
        <a:xfrm>
          <a:off x="127000" y="1828800"/>
          <a:ext cx="933450" cy="7175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21</xdr:row>
      <xdr:rowOff>152400</xdr:rowOff>
    </xdr:to>
    <xdr:sp macro="" textlink="">
      <xdr:nvSpPr>
        <xdr:cNvPr id="4150" name="Text Box 54">
          <a:hlinkClick xmlns:r="http://schemas.openxmlformats.org/officeDocument/2006/relationships" r:id="rId14"/>
          <a:extLst>
            <a:ext uri="{FF2B5EF4-FFF2-40B4-BE49-F238E27FC236}">
              <a16:creationId xmlns:a16="http://schemas.microsoft.com/office/drawing/2014/main" id="{00000000-0008-0000-0500-000036100000}"/>
            </a:ext>
          </a:extLst>
        </xdr:cNvPr>
        <xdr:cNvSpPr txBox="1">
          <a:spLocks noChangeArrowheads="1"/>
        </xdr:cNvSpPr>
      </xdr:nvSpPr>
      <xdr:spPr bwMode="auto">
        <a:xfrm>
          <a:off x="127000" y="276860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4183" name="AutoShape 55">
          <a:extLst>
            <a:ext uri="{FF2B5EF4-FFF2-40B4-BE49-F238E27FC236}">
              <a16:creationId xmlns:a16="http://schemas.microsoft.com/office/drawing/2014/main" id="{00000000-0008-0000-0500-00005710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4184" name="AutoShape 56">
          <a:extLst>
            <a:ext uri="{FF2B5EF4-FFF2-40B4-BE49-F238E27FC236}">
              <a16:creationId xmlns:a16="http://schemas.microsoft.com/office/drawing/2014/main" id="{00000000-0008-0000-0500-00005810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10313" name="Group 38">
          <a:extLst>
            <a:ext uri="{FF2B5EF4-FFF2-40B4-BE49-F238E27FC236}">
              <a16:creationId xmlns:a16="http://schemas.microsoft.com/office/drawing/2014/main" id="{00000000-0008-0000-0600-000049280000}"/>
            </a:ext>
          </a:extLst>
        </xdr:cNvPr>
        <xdr:cNvGrpSpPr>
          <a:grpSpLocks/>
        </xdr:cNvGrpSpPr>
      </xdr:nvGrpSpPr>
      <xdr:grpSpPr bwMode="auto">
        <a:xfrm>
          <a:off x="123825" y="202293"/>
          <a:ext cx="930275" cy="523421"/>
          <a:chOff x="15" y="21"/>
          <a:chExt cx="110" cy="60"/>
        </a:xfrm>
      </xdr:grpSpPr>
      <xdr:pic>
        <xdr:nvPicPr>
          <xdr:cNvPr id="10328" name="Picture 39" descr="kmu_check_up">
            <a:hlinkClick xmlns:r="http://schemas.openxmlformats.org/officeDocument/2006/relationships" r:id="rId1"/>
            <a:extLst>
              <a:ext uri="{FF2B5EF4-FFF2-40B4-BE49-F238E27FC236}">
                <a16:creationId xmlns:a16="http://schemas.microsoft.com/office/drawing/2014/main" id="{00000000-0008-0000-0600-000058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0280" name="Text Box 40">
            <a:extLst>
              <a:ext uri="{FF2B5EF4-FFF2-40B4-BE49-F238E27FC236}">
                <a16:creationId xmlns:a16="http://schemas.microsoft.com/office/drawing/2014/main" id="{00000000-0008-0000-0600-00002828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35</xdr:row>
      <xdr:rowOff>38100</xdr:rowOff>
    </xdr:from>
    <xdr:to>
      <xdr:col>1</xdr:col>
      <xdr:colOff>184150</xdr:colOff>
      <xdr:row>37</xdr:row>
      <xdr:rowOff>76200</xdr:rowOff>
    </xdr:to>
    <xdr:sp macro="" textlink="">
      <xdr:nvSpPr>
        <xdr:cNvPr id="10281" name="Text Box 41">
          <a:hlinkClick xmlns:r="http://schemas.openxmlformats.org/officeDocument/2006/relationships" r:id="rId3"/>
          <a:extLst>
            <a:ext uri="{FF2B5EF4-FFF2-40B4-BE49-F238E27FC236}">
              <a16:creationId xmlns:a16="http://schemas.microsoft.com/office/drawing/2014/main" id="{00000000-0008-0000-0600-000029280000}"/>
            </a:ext>
          </a:extLst>
        </xdr:cNvPr>
        <xdr:cNvSpPr txBox="1">
          <a:spLocks noChangeArrowheads="1"/>
        </xdr:cNvSpPr>
      </xdr:nvSpPr>
      <xdr:spPr bwMode="auto">
        <a:xfrm>
          <a:off x="127000" y="52133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37</xdr:row>
      <xdr:rowOff>114300</xdr:rowOff>
    </xdr:from>
    <xdr:to>
      <xdr:col>1</xdr:col>
      <xdr:colOff>184150</xdr:colOff>
      <xdr:row>39</xdr:row>
      <xdr:rowOff>152400</xdr:rowOff>
    </xdr:to>
    <xdr:sp macro="" textlink="">
      <xdr:nvSpPr>
        <xdr:cNvPr id="10282" name="Text Box 42">
          <a:hlinkClick xmlns:r="http://schemas.openxmlformats.org/officeDocument/2006/relationships" r:id="rId4"/>
          <a:extLst>
            <a:ext uri="{FF2B5EF4-FFF2-40B4-BE49-F238E27FC236}">
              <a16:creationId xmlns:a16="http://schemas.microsoft.com/office/drawing/2014/main" id="{00000000-0008-0000-0600-00002A280000}"/>
            </a:ext>
          </a:extLst>
        </xdr:cNvPr>
        <xdr:cNvSpPr txBox="1">
          <a:spLocks noChangeArrowheads="1"/>
        </xdr:cNvSpPr>
      </xdr:nvSpPr>
      <xdr:spPr bwMode="auto">
        <a:xfrm>
          <a:off x="127000" y="56070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40</xdr:row>
      <xdr:rowOff>25400</xdr:rowOff>
    </xdr:from>
    <xdr:to>
      <xdr:col>1</xdr:col>
      <xdr:colOff>184150</xdr:colOff>
      <xdr:row>42</xdr:row>
      <xdr:rowOff>73111</xdr:rowOff>
    </xdr:to>
    <xdr:sp macro="" textlink="">
      <xdr:nvSpPr>
        <xdr:cNvPr id="10283" name="Text Box 43">
          <a:hlinkClick xmlns:r="http://schemas.openxmlformats.org/officeDocument/2006/relationships" r:id="rId5"/>
          <a:extLst>
            <a:ext uri="{FF2B5EF4-FFF2-40B4-BE49-F238E27FC236}">
              <a16:creationId xmlns:a16="http://schemas.microsoft.com/office/drawing/2014/main" id="{00000000-0008-0000-0600-00002B280000}"/>
            </a:ext>
          </a:extLst>
        </xdr:cNvPr>
        <xdr:cNvSpPr txBox="1">
          <a:spLocks noChangeArrowheads="1"/>
        </xdr:cNvSpPr>
      </xdr:nvSpPr>
      <xdr:spPr bwMode="auto">
        <a:xfrm>
          <a:off x="127000" y="5994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42</xdr:row>
      <xdr:rowOff>111125</xdr:rowOff>
    </xdr:from>
    <xdr:to>
      <xdr:col>1</xdr:col>
      <xdr:colOff>184150</xdr:colOff>
      <xdr:row>44</xdr:row>
      <xdr:rowOff>139867</xdr:rowOff>
    </xdr:to>
    <xdr:sp macro="" textlink="">
      <xdr:nvSpPr>
        <xdr:cNvPr id="10284" name="Text Box 44">
          <a:hlinkClick xmlns:r="http://schemas.openxmlformats.org/officeDocument/2006/relationships" r:id="rId6"/>
          <a:extLst>
            <a:ext uri="{FF2B5EF4-FFF2-40B4-BE49-F238E27FC236}">
              <a16:creationId xmlns:a16="http://schemas.microsoft.com/office/drawing/2014/main" id="{00000000-0008-0000-0600-00002C280000}"/>
            </a:ext>
          </a:extLst>
        </xdr:cNvPr>
        <xdr:cNvSpPr txBox="1">
          <a:spLocks noChangeArrowheads="1"/>
        </xdr:cNvSpPr>
      </xdr:nvSpPr>
      <xdr:spPr bwMode="auto">
        <a:xfrm>
          <a:off x="127000" y="63881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45</xdr:row>
      <xdr:rowOff>19050</xdr:rowOff>
    </xdr:from>
    <xdr:to>
      <xdr:col>1</xdr:col>
      <xdr:colOff>184150</xdr:colOff>
      <xdr:row>47</xdr:row>
      <xdr:rowOff>57150</xdr:rowOff>
    </xdr:to>
    <xdr:sp macro="" textlink="">
      <xdr:nvSpPr>
        <xdr:cNvPr id="10285" name="Text Box 45">
          <a:hlinkClick xmlns:r="http://schemas.openxmlformats.org/officeDocument/2006/relationships" r:id="rId7"/>
          <a:extLst>
            <a:ext uri="{FF2B5EF4-FFF2-40B4-BE49-F238E27FC236}">
              <a16:creationId xmlns:a16="http://schemas.microsoft.com/office/drawing/2014/main" id="{00000000-0008-0000-0600-00002D280000}"/>
            </a:ext>
          </a:extLst>
        </xdr:cNvPr>
        <xdr:cNvSpPr txBox="1">
          <a:spLocks noChangeArrowheads="1"/>
        </xdr:cNvSpPr>
      </xdr:nvSpPr>
      <xdr:spPr bwMode="auto">
        <a:xfrm>
          <a:off x="127000" y="6781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38100</xdr:rowOff>
    </xdr:from>
    <xdr:to>
      <xdr:col>1</xdr:col>
      <xdr:colOff>184150</xdr:colOff>
      <xdr:row>26</xdr:row>
      <xdr:rowOff>57150</xdr:rowOff>
    </xdr:to>
    <xdr:sp macro="" textlink="">
      <xdr:nvSpPr>
        <xdr:cNvPr id="10286" name="Text Box 46">
          <a:hlinkClick xmlns:r="http://schemas.openxmlformats.org/officeDocument/2006/relationships" r:id="rId8"/>
          <a:extLst>
            <a:ext uri="{FF2B5EF4-FFF2-40B4-BE49-F238E27FC236}">
              <a16:creationId xmlns:a16="http://schemas.microsoft.com/office/drawing/2014/main" id="{00000000-0008-0000-0600-00002E280000}"/>
            </a:ext>
          </a:extLst>
        </xdr:cNvPr>
        <xdr:cNvSpPr txBox="1">
          <a:spLocks noChangeArrowheads="1"/>
        </xdr:cNvSpPr>
      </xdr:nvSpPr>
      <xdr:spPr bwMode="auto">
        <a:xfrm>
          <a:off x="127000" y="35560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26</xdr:row>
      <xdr:rowOff>95250</xdr:rowOff>
    </xdr:from>
    <xdr:to>
      <xdr:col>1</xdr:col>
      <xdr:colOff>184150</xdr:colOff>
      <xdr:row>29</xdr:row>
      <xdr:rowOff>120650</xdr:rowOff>
    </xdr:to>
    <xdr:sp macro="" textlink="">
      <xdr:nvSpPr>
        <xdr:cNvPr id="10287" name="Text Box 47">
          <a:hlinkClick xmlns:r="http://schemas.openxmlformats.org/officeDocument/2006/relationships" r:id="rId9"/>
          <a:extLst>
            <a:ext uri="{FF2B5EF4-FFF2-40B4-BE49-F238E27FC236}">
              <a16:creationId xmlns:a16="http://schemas.microsoft.com/office/drawing/2014/main" id="{00000000-0008-0000-0600-00002F280000}"/>
            </a:ext>
          </a:extLst>
        </xdr:cNvPr>
        <xdr:cNvSpPr txBox="1">
          <a:spLocks noChangeArrowheads="1"/>
        </xdr:cNvSpPr>
      </xdr:nvSpPr>
      <xdr:spPr bwMode="auto">
        <a:xfrm>
          <a:off x="127000" y="39497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30</xdr:row>
      <xdr:rowOff>0</xdr:rowOff>
    </xdr:from>
    <xdr:to>
      <xdr:col>1</xdr:col>
      <xdr:colOff>184150</xdr:colOff>
      <xdr:row>32</xdr:row>
      <xdr:rowOff>19050</xdr:rowOff>
    </xdr:to>
    <xdr:sp macro="" textlink="">
      <xdr:nvSpPr>
        <xdr:cNvPr id="10288" name="Text Box 48" descr="50%">
          <a:hlinkClick xmlns:r="http://schemas.openxmlformats.org/officeDocument/2006/relationships" r:id="rId10"/>
          <a:extLst>
            <a:ext uri="{FF2B5EF4-FFF2-40B4-BE49-F238E27FC236}">
              <a16:creationId xmlns:a16="http://schemas.microsoft.com/office/drawing/2014/main" id="{00000000-0008-0000-0600-000030280000}"/>
            </a:ext>
          </a:extLst>
        </xdr:cNvPr>
        <xdr:cNvSpPr txBox="1">
          <a:spLocks noChangeArrowheads="1"/>
        </xdr:cNvSpPr>
      </xdr:nvSpPr>
      <xdr:spPr bwMode="auto">
        <a:xfrm>
          <a:off x="127000" y="434340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Plan-MFR</a:t>
          </a:r>
        </a:p>
      </xdr:txBody>
    </xdr:sp>
    <xdr:clientData/>
  </xdr:twoCellAnchor>
  <xdr:twoCellAnchor>
    <xdr:from>
      <xdr:col>0</xdr:col>
      <xdr:colOff>127000</xdr:colOff>
      <xdr:row>32</xdr:row>
      <xdr:rowOff>57150</xdr:rowOff>
    </xdr:from>
    <xdr:to>
      <xdr:col>1</xdr:col>
      <xdr:colOff>184150</xdr:colOff>
      <xdr:row>34</xdr:row>
      <xdr:rowOff>88900</xdr:rowOff>
    </xdr:to>
    <xdr:sp macro="" textlink="">
      <xdr:nvSpPr>
        <xdr:cNvPr id="10289" name="Text Box 49">
          <a:hlinkClick xmlns:r="http://schemas.openxmlformats.org/officeDocument/2006/relationships" r:id="rId11"/>
          <a:extLst>
            <a:ext uri="{FF2B5EF4-FFF2-40B4-BE49-F238E27FC236}">
              <a16:creationId xmlns:a16="http://schemas.microsoft.com/office/drawing/2014/main" id="{00000000-0008-0000-0600-000031280000}"/>
            </a:ext>
          </a:extLst>
        </xdr:cNvPr>
        <xdr:cNvSpPr txBox="1">
          <a:spLocks noChangeArrowheads="1"/>
        </xdr:cNvSpPr>
      </xdr:nvSpPr>
      <xdr:spPr bwMode="auto">
        <a:xfrm>
          <a:off x="127000" y="47371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9</xdr:row>
      <xdr:rowOff>6350</xdr:rowOff>
    </xdr:to>
    <xdr:sp macro="" textlink="">
      <xdr:nvSpPr>
        <xdr:cNvPr id="10291" name="Text Box 51">
          <a:hlinkClick xmlns:r="http://schemas.openxmlformats.org/officeDocument/2006/relationships" r:id="rId12"/>
          <a:extLst>
            <a:ext uri="{FF2B5EF4-FFF2-40B4-BE49-F238E27FC236}">
              <a16:creationId xmlns:a16="http://schemas.microsoft.com/office/drawing/2014/main" id="{00000000-0008-0000-0600-000033280000}"/>
            </a:ext>
          </a:extLst>
        </xdr:cNvPr>
        <xdr:cNvSpPr txBox="1">
          <a:spLocks noChangeArrowheads="1"/>
        </xdr:cNvSpPr>
      </xdr:nvSpPr>
      <xdr:spPr bwMode="auto">
        <a:xfrm>
          <a:off x="127000" y="787400"/>
          <a:ext cx="933450" cy="7874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76200</xdr:rowOff>
    </xdr:from>
    <xdr:to>
      <xdr:col>1</xdr:col>
      <xdr:colOff>184150</xdr:colOff>
      <xdr:row>14</xdr:row>
      <xdr:rowOff>133350</xdr:rowOff>
    </xdr:to>
    <xdr:sp macro="" textlink="">
      <xdr:nvSpPr>
        <xdr:cNvPr id="10292" name="Text Box 52">
          <a:hlinkClick xmlns:r="http://schemas.openxmlformats.org/officeDocument/2006/relationships" r:id="rId13"/>
          <a:extLst>
            <a:ext uri="{FF2B5EF4-FFF2-40B4-BE49-F238E27FC236}">
              <a16:creationId xmlns:a16="http://schemas.microsoft.com/office/drawing/2014/main" id="{00000000-0008-0000-0600-000034280000}"/>
            </a:ext>
          </a:extLst>
        </xdr:cNvPr>
        <xdr:cNvSpPr txBox="1">
          <a:spLocks noChangeArrowheads="1"/>
        </xdr:cNvSpPr>
      </xdr:nvSpPr>
      <xdr:spPr bwMode="auto">
        <a:xfrm>
          <a:off x="127000" y="180340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38100</xdr:rowOff>
    </xdr:from>
    <xdr:to>
      <xdr:col>1</xdr:col>
      <xdr:colOff>184150</xdr:colOff>
      <xdr:row>20</xdr:row>
      <xdr:rowOff>82550</xdr:rowOff>
    </xdr:to>
    <xdr:sp macro="" textlink="">
      <xdr:nvSpPr>
        <xdr:cNvPr id="10293" name="Text Box 53">
          <a:hlinkClick xmlns:r="http://schemas.openxmlformats.org/officeDocument/2006/relationships" r:id="rId14"/>
          <a:extLst>
            <a:ext uri="{FF2B5EF4-FFF2-40B4-BE49-F238E27FC236}">
              <a16:creationId xmlns:a16="http://schemas.microsoft.com/office/drawing/2014/main" id="{00000000-0008-0000-0600-000035280000}"/>
            </a:ext>
          </a:extLst>
        </xdr:cNvPr>
        <xdr:cNvSpPr txBox="1">
          <a:spLocks noChangeArrowheads="1"/>
        </xdr:cNvSpPr>
      </xdr:nvSpPr>
      <xdr:spPr bwMode="auto">
        <a:xfrm>
          <a:off x="127000" y="2736850"/>
          <a:ext cx="933450" cy="6985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9525</xdr:rowOff>
    </xdr:from>
    <xdr:to>
      <xdr:col>1</xdr:col>
      <xdr:colOff>28575</xdr:colOff>
      <xdr:row>10</xdr:row>
      <xdr:rowOff>76200</xdr:rowOff>
    </xdr:to>
    <xdr:sp macro="" textlink="">
      <xdr:nvSpPr>
        <xdr:cNvPr id="10326" name="AutoShape 54">
          <a:extLst>
            <a:ext uri="{FF2B5EF4-FFF2-40B4-BE49-F238E27FC236}">
              <a16:creationId xmlns:a16="http://schemas.microsoft.com/office/drawing/2014/main" id="{00000000-0008-0000-0600-00005628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14</xdr:row>
      <xdr:rowOff>133350</xdr:rowOff>
    </xdr:from>
    <xdr:to>
      <xdr:col>1</xdr:col>
      <xdr:colOff>28575</xdr:colOff>
      <xdr:row>16</xdr:row>
      <xdr:rowOff>38100</xdr:rowOff>
    </xdr:to>
    <xdr:sp macro="" textlink="">
      <xdr:nvSpPr>
        <xdr:cNvPr id="10327" name="AutoShape 55">
          <a:extLst>
            <a:ext uri="{FF2B5EF4-FFF2-40B4-BE49-F238E27FC236}">
              <a16:creationId xmlns:a16="http://schemas.microsoft.com/office/drawing/2014/main" id="{00000000-0008-0000-0600-000057280000}"/>
            </a:ext>
          </a:extLst>
        </xdr:cNvPr>
        <xdr:cNvSpPr>
          <a:spLocks noChangeArrowheads="1"/>
        </xdr:cNvSpPr>
      </xdr:nvSpPr>
      <xdr:spPr bwMode="auto">
        <a:xfrm>
          <a:off x="323850" y="25717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123825</xdr:colOff>
      <xdr:row>2</xdr:row>
      <xdr:rowOff>9525</xdr:rowOff>
    </xdr:from>
    <xdr:to>
      <xdr:col>1</xdr:col>
      <xdr:colOff>180975</xdr:colOff>
      <xdr:row>4</xdr:row>
      <xdr:rowOff>0</xdr:rowOff>
    </xdr:to>
    <xdr:grpSp>
      <xdr:nvGrpSpPr>
        <xdr:cNvPr id="5207" name="Group 52">
          <a:extLst>
            <a:ext uri="{FF2B5EF4-FFF2-40B4-BE49-F238E27FC236}">
              <a16:creationId xmlns:a16="http://schemas.microsoft.com/office/drawing/2014/main" id="{00000000-0008-0000-0700-000057140000}"/>
            </a:ext>
          </a:extLst>
        </xdr:cNvPr>
        <xdr:cNvGrpSpPr>
          <a:grpSpLocks/>
        </xdr:cNvGrpSpPr>
      </xdr:nvGrpSpPr>
      <xdr:grpSpPr bwMode="auto">
        <a:xfrm>
          <a:off x="123825" y="202293"/>
          <a:ext cx="930275" cy="523421"/>
          <a:chOff x="15" y="21"/>
          <a:chExt cx="110" cy="60"/>
        </a:xfrm>
      </xdr:grpSpPr>
      <xdr:pic>
        <xdr:nvPicPr>
          <xdr:cNvPr id="5222" name="Picture 53" descr="kmu_check_up">
            <a:hlinkClick xmlns:r="http://schemas.openxmlformats.org/officeDocument/2006/relationships" r:id="rId1"/>
            <a:extLst>
              <a:ext uri="{FF2B5EF4-FFF2-40B4-BE49-F238E27FC236}">
                <a16:creationId xmlns:a16="http://schemas.microsoft.com/office/drawing/2014/main" id="{00000000-0008-0000-0700-0000661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5174" name="Text Box 54">
            <a:extLst>
              <a:ext uri="{FF2B5EF4-FFF2-40B4-BE49-F238E27FC236}">
                <a16:creationId xmlns:a16="http://schemas.microsoft.com/office/drawing/2014/main" id="{00000000-0008-0000-0700-0000361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34</xdr:row>
      <xdr:rowOff>111125</xdr:rowOff>
    </xdr:from>
    <xdr:to>
      <xdr:col>1</xdr:col>
      <xdr:colOff>184150</xdr:colOff>
      <xdr:row>36</xdr:row>
      <xdr:rowOff>139867</xdr:rowOff>
    </xdr:to>
    <xdr:sp macro="" textlink="">
      <xdr:nvSpPr>
        <xdr:cNvPr id="5175" name="Text Box 55">
          <a:hlinkClick xmlns:r="http://schemas.openxmlformats.org/officeDocument/2006/relationships" r:id="rId3"/>
          <a:extLst>
            <a:ext uri="{FF2B5EF4-FFF2-40B4-BE49-F238E27FC236}">
              <a16:creationId xmlns:a16="http://schemas.microsoft.com/office/drawing/2014/main" id="{00000000-0008-0000-0700-000037140000}"/>
            </a:ext>
          </a:extLst>
        </xdr:cNvPr>
        <xdr:cNvSpPr txBox="1">
          <a:spLocks noChangeArrowheads="1"/>
        </xdr:cNvSpPr>
      </xdr:nvSpPr>
      <xdr:spPr bwMode="auto">
        <a:xfrm>
          <a:off x="127000" y="52133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37</xdr:row>
      <xdr:rowOff>19050</xdr:rowOff>
    </xdr:from>
    <xdr:to>
      <xdr:col>1</xdr:col>
      <xdr:colOff>184150</xdr:colOff>
      <xdr:row>39</xdr:row>
      <xdr:rowOff>57150</xdr:rowOff>
    </xdr:to>
    <xdr:sp macro="" textlink="">
      <xdr:nvSpPr>
        <xdr:cNvPr id="5176" name="Text Box 56">
          <a:hlinkClick xmlns:r="http://schemas.openxmlformats.org/officeDocument/2006/relationships" r:id="rId4"/>
          <a:extLst>
            <a:ext uri="{FF2B5EF4-FFF2-40B4-BE49-F238E27FC236}">
              <a16:creationId xmlns:a16="http://schemas.microsoft.com/office/drawing/2014/main" id="{00000000-0008-0000-0700-000038140000}"/>
            </a:ext>
          </a:extLst>
        </xdr:cNvPr>
        <xdr:cNvSpPr txBox="1">
          <a:spLocks noChangeArrowheads="1"/>
        </xdr:cNvSpPr>
      </xdr:nvSpPr>
      <xdr:spPr bwMode="auto">
        <a:xfrm>
          <a:off x="127000" y="56070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39</xdr:row>
      <xdr:rowOff>95250</xdr:rowOff>
    </xdr:from>
    <xdr:to>
      <xdr:col>1</xdr:col>
      <xdr:colOff>184150</xdr:colOff>
      <xdr:row>41</xdr:row>
      <xdr:rowOff>133350</xdr:rowOff>
    </xdr:to>
    <xdr:sp macro="" textlink="">
      <xdr:nvSpPr>
        <xdr:cNvPr id="5177" name="Text Box 57">
          <a:hlinkClick xmlns:r="http://schemas.openxmlformats.org/officeDocument/2006/relationships" r:id="rId5"/>
          <a:extLst>
            <a:ext uri="{FF2B5EF4-FFF2-40B4-BE49-F238E27FC236}">
              <a16:creationId xmlns:a16="http://schemas.microsoft.com/office/drawing/2014/main" id="{00000000-0008-0000-0700-000039140000}"/>
            </a:ext>
          </a:extLst>
        </xdr:cNvPr>
        <xdr:cNvSpPr txBox="1">
          <a:spLocks noChangeArrowheads="1"/>
        </xdr:cNvSpPr>
      </xdr:nvSpPr>
      <xdr:spPr bwMode="auto">
        <a:xfrm>
          <a:off x="127000" y="600075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42</xdr:row>
      <xdr:rowOff>6350</xdr:rowOff>
    </xdr:from>
    <xdr:to>
      <xdr:col>1</xdr:col>
      <xdr:colOff>184150</xdr:colOff>
      <xdr:row>44</xdr:row>
      <xdr:rowOff>44450</xdr:rowOff>
    </xdr:to>
    <xdr:sp macro="" textlink="">
      <xdr:nvSpPr>
        <xdr:cNvPr id="5178" name="Text Box 58">
          <a:hlinkClick xmlns:r="http://schemas.openxmlformats.org/officeDocument/2006/relationships" r:id="rId6"/>
          <a:extLst>
            <a:ext uri="{FF2B5EF4-FFF2-40B4-BE49-F238E27FC236}">
              <a16:creationId xmlns:a16="http://schemas.microsoft.com/office/drawing/2014/main" id="{00000000-0008-0000-0700-00003A140000}"/>
            </a:ext>
          </a:extLst>
        </xdr:cNvPr>
        <xdr:cNvSpPr txBox="1">
          <a:spLocks noChangeArrowheads="1"/>
        </xdr:cNvSpPr>
      </xdr:nvSpPr>
      <xdr:spPr bwMode="auto">
        <a:xfrm>
          <a:off x="127000" y="63881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44</xdr:row>
      <xdr:rowOff>82550</xdr:rowOff>
    </xdr:from>
    <xdr:to>
      <xdr:col>1</xdr:col>
      <xdr:colOff>184150</xdr:colOff>
      <xdr:row>46</xdr:row>
      <xdr:rowOff>130261</xdr:rowOff>
    </xdr:to>
    <xdr:sp macro="" textlink="">
      <xdr:nvSpPr>
        <xdr:cNvPr id="5179" name="Text Box 59">
          <a:hlinkClick xmlns:r="http://schemas.openxmlformats.org/officeDocument/2006/relationships" r:id="rId7"/>
          <a:extLst>
            <a:ext uri="{FF2B5EF4-FFF2-40B4-BE49-F238E27FC236}">
              <a16:creationId xmlns:a16="http://schemas.microsoft.com/office/drawing/2014/main" id="{00000000-0008-0000-0700-00003B140000}"/>
            </a:ext>
          </a:extLst>
        </xdr:cNvPr>
        <xdr:cNvSpPr txBox="1">
          <a:spLocks noChangeArrowheads="1"/>
        </xdr:cNvSpPr>
      </xdr:nvSpPr>
      <xdr:spPr bwMode="auto">
        <a:xfrm>
          <a:off x="127000" y="67818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23</xdr:row>
      <xdr:rowOff>38100</xdr:rowOff>
    </xdr:from>
    <xdr:to>
      <xdr:col>1</xdr:col>
      <xdr:colOff>184150</xdr:colOff>
      <xdr:row>26</xdr:row>
      <xdr:rowOff>76200</xdr:rowOff>
    </xdr:to>
    <xdr:sp macro="" textlink="">
      <xdr:nvSpPr>
        <xdr:cNvPr id="5180" name="Text Box 60">
          <a:hlinkClick xmlns:r="http://schemas.openxmlformats.org/officeDocument/2006/relationships" r:id="rId8"/>
          <a:extLst>
            <a:ext uri="{FF2B5EF4-FFF2-40B4-BE49-F238E27FC236}">
              <a16:creationId xmlns:a16="http://schemas.microsoft.com/office/drawing/2014/main" id="{00000000-0008-0000-0700-00003C140000}"/>
            </a:ext>
          </a:extLst>
        </xdr:cNvPr>
        <xdr:cNvSpPr txBox="1">
          <a:spLocks noChangeArrowheads="1"/>
        </xdr:cNvSpPr>
      </xdr:nvSpPr>
      <xdr:spPr bwMode="auto">
        <a:xfrm>
          <a:off x="127000" y="35623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26</xdr:row>
      <xdr:rowOff>114300</xdr:rowOff>
    </xdr:from>
    <xdr:to>
      <xdr:col>1</xdr:col>
      <xdr:colOff>184150</xdr:colOff>
      <xdr:row>28</xdr:row>
      <xdr:rowOff>152400</xdr:rowOff>
    </xdr:to>
    <xdr:sp macro="" textlink="">
      <xdr:nvSpPr>
        <xdr:cNvPr id="5181" name="Text Box 61">
          <a:hlinkClick xmlns:r="http://schemas.openxmlformats.org/officeDocument/2006/relationships" r:id="rId9"/>
          <a:extLst>
            <a:ext uri="{FF2B5EF4-FFF2-40B4-BE49-F238E27FC236}">
              <a16:creationId xmlns:a16="http://schemas.microsoft.com/office/drawing/2014/main" id="{00000000-0008-0000-0700-00003D140000}"/>
            </a:ext>
          </a:extLst>
        </xdr:cNvPr>
        <xdr:cNvSpPr txBox="1">
          <a:spLocks noChangeArrowheads="1"/>
        </xdr:cNvSpPr>
      </xdr:nvSpPr>
      <xdr:spPr bwMode="auto">
        <a:xfrm>
          <a:off x="127000" y="39560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29</xdr:row>
      <xdr:rowOff>25400</xdr:rowOff>
    </xdr:from>
    <xdr:to>
      <xdr:col>1</xdr:col>
      <xdr:colOff>184150</xdr:colOff>
      <xdr:row>31</xdr:row>
      <xdr:rowOff>73111</xdr:rowOff>
    </xdr:to>
    <xdr:sp macro="" textlink="">
      <xdr:nvSpPr>
        <xdr:cNvPr id="5182" name="Text Box 62">
          <a:hlinkClick xmlns:r="http://schemas.openxmlformats.org/officeDocument/2006/relationships" r:id="rId10"/>
          <a:extLst>
            <a:ext uri="{FF2B5EF4-FFF2-40B4-BE49-F238E27FC236}">
              <a16:creationId xmlns:a16="http://schemas.microsoft.com/office/drawing/2014/main" id="{00000000-0008-0000-0700-00003E140000}"/>
            </a:ext>
          </a:extLst>
        </xdr:cNvPr>
        <xdr:cNvSpPr txBox="1">
          <a:spLocks noChangeArrowheads="1"/>
        </xdr:cNvSpPr>
      </xdr:nvSpPr>
      <xdr:spPr bwMode="auto">
        <a:xfrm>
          <a:off x="127000" y="4343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31</xdr:row>
      <xdr:rowOff>111125</xdr:rowOff>
    </xdr:from>
    <xdr:to>
      <xdr:col>1</xdr:col>
      <xdr:colOff>184150</xdr:colOff>
      <xdr:row>33</xdr:row>
      <xdr:rowOff>139867</xdr:rowOff>
    </xdr:to>
    <xdr:sp macro="" textlink="">
      <xdr:nvSpPr>
        <xdr:cNvPr id="5183" name="Text Box 63" descr="50%">
          <a:hlinkClick xmlns:r="http://schemas.openxmlformats.org/officeDocument/2006/relationships" r:id="rId11"/>
          <a:extLst>
            <a:ext uri="{FF2B5EF4-FFF2-40B4-BE49-F238E27FC236}">
              <a16:creationId xmlns:a16="http://schemas.microsoft.com/office/drawing/2014/main" id="{00000000-0008-0000-0700-00003F140000}"/>
            </a:ext>
          </a:extLst>
        </xdr:cNvPr>
        <xdr:cNvSpPr txBox="1">
          <a:spLocks noChangeArrowheads="1"/>
        </xdr:cNvSpPr>
      </xdr:nvSpPr>
      <xdr:spPr bwMode="auto">
        <a:xfrm>
          <a:off x="127000" y="4737100"/>
          <a:ext cx="933450" cy="355600"/>
        </a:xfrm>
        <a:prstGeom prst="rect">
          <a:avLst/>
        </a:prstGeom>
        <a:pattFill prst="pct50">
          <a:fgClr>
            <a:srgbClr xmlns:mc="http://schemas.openxmlformats.org/markup-compatibility/2006" xmlns:a14="http://schemas.microsoft.com/office/drawing/2010/main" val="0093D1" mc:Ignorable="a14" a14:legacySpreadsheetColorIndex="21"/>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000000"/>
              </a:solidFill>
              <a:latin typeface="Arial"/>
              <a:cs typeface="Arial"/>
            </a:rPr>
            <a:t>Kennzahlen</a:t>
          </a:r>
        </a:p>
      </xdr:txBody>
    </xdr:sp>
    <xdr:clientData/>
  </xdr:twoCellAnchor>
  <xdr:twoCellAnchor>
    <xdr:from>
      <xdr:col>0</xdr:col>
      <xdr:colOff>127000</xdr:colOff>
      <xdr:row>4</xdr:row>
      <xdr:rowOff>63500</xdr:rowOff>
    </xdr:from>
    <xdr:to>
      <xdr:col>1</xdr:col>
      <xdr:colOff>184150</xdr:colOff>
      <xdr:row>9</xdr:row>
      <xdr:rowOff>0</xdr:rowOff>
    </xdr:to>
    <xdr:sp macro="" textlink="">
      <xdr:nvSpPr>
        <xdr:cNvPr id="5185" name="Text Box 65">
          <a:hlinkClick xmlns:r="http://schemas.openxmlformats.org/officeDocument/2006/relationships" r:id="rId12"/>
          <a:extLst>
            <a:ext uri="{FF2B5EF4-FFF2-40B4-BE49-F238E27FC236}">
              <a16:creationId xmlns:a16="http://schemas.microsoft.com/office/drawing/2014/main" id="{00000000-0008-0000-0700-000041140000}"/>
            </a:ext>
          </a:extLst>
        </xdr:cNvPr>
        <xdr:cNvSpPr txBox="1">
          <a:spLocks noChangeArrowheads="1"/>
        </xdr:cNvSpPr>
      </xdr:nvSpPr>
      <xdr:spPr bwMode="auto">
        <a:xfrm>
          <a:off x="127000" y="787400"/>
          <a:ext cx="933450" cy="7937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lnSpc>
              <a:spcPts val="1100"/>
            </a:lnSpc>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63500</xdr:rowOff>
    </xdr:from>
    <xdr:to>
      <xdr:col>1</xdr:col>
      <xdr:colOff>184150</xdr:colOff>
      <xdr:row>15</xdr:row>
      <xdr:rowOff>120650</xdr:rowOff>
    </xdr:to>
    <xdr:sp macro="" textlink="">
      <xdr:nvSpPr>
        <xdr:cNvPr id="5186" name="Text Box 66">
          <a:hlinkClick xmlns:r="http://schemas.openxmlformats.org/officeDocument/2006/relationships" r:id="rId13"/>
          <a:extLst>
            <a:ext uri="{FF2B5EF4-FFF2-40B4-BE49-F238E27FC236}">
              <a16:creationId xmlns:a16="http://schemas.microsoft.com/office/drawing/2014/main" id="{00000000-0008-0000-0700-000042140000}"/>
            </a:ext>
          </a:extLst>
        </xdr:cNvPr>
        <xdr:cNvSpPr txBox="1">
          <a:spLocks noChangeArrowheads="1"/>
        </xdr:cNvSpPr>
      </xdr:nvSpPr>
      <xdr:spPr bwMode="auto">
        <a:xfrm>
          <a:off x="127000" y="180340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17</xdr:row>
      <xdr:rowOff>25400</xdr:rowOff>
    </xdr:from>
    <xdr:to>
      <xdr:col>1</xdr:col>
      <xdr:colOff>184150</xdr:colOff>
      <xdr:row>22</xdr:row>
      <xdr:rowOff>76200</xdr:rowOff>
    </xdr:to>
    <xdr:sp macro="" textlink="">
      <xdr:nvSpPr>
        <xdr:cNvPr id="5187" name="Text Box 67">
          <a:hlinkClick xmlns:r="http://schemas.openxmlformats.org/officeDocument/2006/relationships" r:id="rId14"/>
          <a:extLst>
            <a:ext uri="{FF2B5EF4-FFF2-40B4-BE49-F238E27FC236}">
              <a16:creationId xmlns:a16="http://schemas.microsoft.com/office/drawing/2014/main" id="{00000000-0008-0000-0700-000043140000}"/>
            </a:ext>
          </a:extLst>
        </xdr:cNvPr>
        <xdr:cNvSpPr txBox="1">
          <a:spLocks noChangeArrowheads="1"/>
        </xdr:cNvSpPr>
      </xdr:nvSpPr>
      <xdr:spPr bwMode="auto">
        <a:xfrm>
          <a:off x="127000" y="273685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0</xdr:rowOff>
    </xdr:from>
    <xdr:to>
      <xdr:col>1</xdr:col>
      <xdr:colOff>28575</xdr:colOff>
      <xdr:row>10</xdr:row>
      <xdr:rowOff>66675</xdr:rowOff>
    </xdr:to>
    <xdr:sp macro="" textlink="">
      <xdr:nvSpPr>
        <xdr:cNvPr id="5220" name="AutoShape 68">
          <a:extLst>
            <a:ext uri="{FF2B5EF4-FFF2-40B4-BE49-F238E27FC236}">
              <a16:creationId xmlns:a16="http://schemas.microsoft.com/office/drawing/2014/main" id="{00000000-0008-0000-0700-000064140000}"/>
            </a:ext>
          </a:extLst>
        </xdr:cNvPr>
        <xdr:cNvSpPr>
          <a:spLocks noChangeArrowheads="1"/>
        </xdr:cNvSpPr>
      </xdr:nvSpPr>
      <xdr:spPr bwMode="auto">
        <a:xfrm>
          <a:off x="323850" y="16192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123825</xdr:rowOff>
    </xdr:from>
    <xdr:to>
      <xdr:col>1</xdr:col>
      <xdr:colOff>28575</xdr:colOff>
      <xdr:row>17</xdr:row>
      <xdr:rowOff>28575</xdr:rowOff>
    </xdr:to>
    <xdr:sp macro="" textlink="">
      <xdr:nvSpPr>
        <xdr:cNvPr id="5221" name="AutoShape 69">
          <a:extLst>
            <a:ext uri="{FF2B5EF4-FFF2-40B4-BE49-F238E27FC236}">
              <a16:creationId xmlns:a16="http://schemas.microsoft.com/office/drawing/2014/main" id="{00000000-0008-0000-0700-000065140000}"/>
            </a:ext>
          </a:extLst>
        </xdr:cNvPr>
        <xdr:cNvSpPr>
          <a:spLocks noChangeArrowheads="1"/>
        </xdr:cNvSpPr>
      </xdr:nvSpPr>
      <xdr:spPr bwMode="auto">
        <a:xfrm>
          <a:off x="323850" y="2571750"/>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6286" name="Group 107">
          <a:extLst>
            <a:ext uri="{FF2B5EF4-FFF2-40B4-BE49-F238E27FC236}">
              <a16:creationId xmlns:a16="http://schemas.microsoft.com/office/drawing/2014/main" id="{00000000-0008-0000-0800-00008E180000}"/>
            </a:ext>
          </a:extLst>
        </xdr:cNvPr>
        <xdr:cNvGrpSpPr>
          <a:grpSpLocks/>
        </xdr:cNvGrpSpPr>
      </xdr:nvGrpSpPr>
      <xdr:grpSpPr bwMode="auto">
        <a:xfrm>
          <a:off x="123825" y="211818"/>
          <a:ext cx="930275" cy="523421"/>
          <a:chOff x="15" y="21"/>
          <a:chExt cx="110" cy="60"/>
        </a:xfrm>
      </xdr:grpSpPr>
      <xdr:pic>
        <xdr:nvPicPr>
          <xdr:cNvPr id="6301" name="Picture 108" descr="kmu_check_up">
            <a:hlinkClick xmlns:r="http://schemas.openxmlformats.org/officeDocument/2006/relationships" r:id="rId1"/>
            <a:extLst>
              <a:ext uri="{FF2B5EF4-FFF2-40B4-BE49-F238E27FC236}">
                <a16:creationId xmlns:a16="http://schemas.microsoft.com/office/drawing/2014/main" id="{00000000-0008-0000-0800-00009D1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6253" name="Text Box 109">
            <a:extLst>
              <a:ext uri="{FF2B5EF4-FFF2-40B4-BE49-F238E27FC236}">
                <a16:creationId xmlns:a16="http://schemas.microsoft.com/office/drawing/2014/main" id="{00000000-0008-0000-0800-00006D18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6254" name="Text Box 110" descr="50%">
          <a:hlinkClick xmlns:r="http://schemas.openxmlformats.org/officeDocument/2006/relationships" r:id="rId3"/>
          <a:extLst>
            <a:ext uri="{FF2B5EF4-FFF2-40B4-BE49-F238E27FC236}">
              <a16:creationId xmlns:a16="http://schemas.microsoft.com/office/drawing/2014/main" id="{00000000-0008-0000-0800-00006E180000}"/>
            </a:ext>
          </a:extLst>
        </xdr:cNvPr>
        <xdr:cNvSpPr txBox="1">
          <a:spLocks noChangeArrowheads="1"/>
        </xdr:cNvSpPr>
      </xdr:nvSpPr>
      <xdr:spPr bwMode="auto">
        <a:xfrm>
          <a:off x="127000" y="5232400"/>
          <a:ext cx="933450" cy="35560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6255" name="Text Box 111">
          <a:hlinkClick xmlns:r="http://schemas.openxmlformats.org/officeDocument/2006/relationships" r:id="rId4"/>
          <a:extLst>
            <a:ext uri="{FF2B5EF4-FFF2-40B4-BE49-F238E27FC236}">
              <a16:creationId xmlns:a16="http://schemas.microsoft.com/office/drawing/2014/main" id="{00000000-0008-0000-0800-00006F18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6256" name="Text Box 112">
          <a:hlinkClick xmlns:r="http://schemas.openxmlformats.org/officeDocument/2006/relationships" r:id="rId5"/>
          <a:extLst>
            <a:ext uri="{FF2B5EF4-FFF2-40B4-BE49-F238E27FC236}">
              <a16:creationId xmlns:a16="http://schemas.microsoft.com/office/drawing/2014/main" id="{00000000-0008-0000-0800-00007018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6257" name="Text Box 113">
          <a:hlinkClick xmlns:r="http://schemas.openxmlformats.org/officeDocument/2006/relationships" r:id="rId6"/>
          <a:extLst>
            <a:ext uri="{FF2B5EF4-FFF2-40B4-BE49-F238E27FC236}">
              <a16:creationId xmlns:a16="http://schemas.microsoft.com/office/drawing/2014/main" id="{00000000-0008-0000-0800-00007118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6258" name="Text Box 114">
          <a:hlinkClick xmlns:r="http://schemas.openxmlformats.org/officeDocument/2006/relationships" r:id="rId7"/>
          <a:extLst>
            <a:ext uri="{FF2B5EF4-FFF2-40B4-BE49-F238E27FC236}">
              <a16:creationId xmlns:a16="http://schemas.microsoft.com/office/drawing/2014/main" id="{00000000-0008-0000-0800-00007218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6259" name="Text Box 115">
          <a:hlinkClick xmlns:r="http://schemas.openxmlformats.org/officeDocument/2006/relationships" r:id="rId8"/>
          <a:extLst>
            <a:ext uri="{FF2B5EF4-FFF2-40B4-BE49-F238E27FC236}">
              <a16:creationId xmlns:a16="http://schemas.microsoft.com/office/drawing/2014/main" id="{00000000-0008-0000-0800-00007318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6260" name="Text Box 116">
          <a:hlinkClick xmlns:r="http://schemas.openxmlformats.org/officeDocument/2006/relationships" r:id="rId9"/>
          <a:extLst>
            <a:ext uri="{FF2B5EF4-FFF2-40B4-BE49-F238E27FC236}">
              <a16:creationId xmlns:a16="http://schemas.microsoft.com/office/drawing/2014/main" id="{00000000-0008-0000-0800-00007418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6261" name="Text Box 117">
          <a:hlinkClick xmlns:r="http://schemas.openxmlformats.org/officeDocument/2006/relationships" r:id="rId10"/>
          <a:extLst>
            <a:ext uri="{FF2B5EF4-FFF2-40B4-BE49-F238E27FC236}">
              <a16:creationId xmlns:a16="http://schemas.microsoft.com/office/drawing/2014/main" id="{00000000-0008-0000-0800-00007518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6262" name="Text Box 118">
          <a:hlinkClick xmlns:r="http://schemas.openxmlformats.org/officeDocument/2006/relationships" r:id="rId11"/>
          <a:extLst>
            <a:ext uri="{FF2B5EF4-FFF2-40B4-BE49-F238E27FC236}">
              <a16:creationId xmlns:a16="http://schemas.microsoft.com/office/drawing/2014/main" id="{00000000-0008-0000-0800-00007618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6264" name="Text Box 120">
          <a:hlinkClick xmlns:r="http://schemas.openxmlformats.org/officeDocument/2006/relationships" r:id="rId12"/>
          <a:extLst>
            <a:ext uri="{FF2B5EF4-FFF2-40B4-BE49-F238E27FC236}">
              <a16:creationId xmlns:a16="http://schemas.microsoft.com/office/drawing/2014/main" id="{00000000-0008-0000-0800-00007818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6265" name="Text Box 121">
          <a:hlinkClick xmlns:r="http://schemas.openxmlformats.org/officeDocument/2006/relationships" r:id="rId13"/>
          <a:extLst>
            <a:ext uri="{FF2B5EF4-FFF2-40B4-BE49-F238E27FC236}">
              <a16:creationId xmlns:a16="http://schemas.microsoft.com/office/drawing/2014/main" id="{00000000-0008-0000-0800-00007918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6266" name="Text Box 122">
          <a:hlinkClick xmlns:r="http://schemas.openxmlformats.org/officeDocument/2006/relationships" r:id="rId14"/>
          <a:extLst>
            <a:ext uri="{FF2B5EF4-FFF2-40B4-BE49-F238E27FC236}">
              <a16:creationId xmlns:a16="http://schemas.microsoft.com/office/drawing/2014/main" id="{00000000-0008-0000-0800-00007A18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6299" name="AutoShape 123">
          <a:extLst>
            <a:ext uri="{FF2B5EF4-FFF2-40B4-BE49-F238E27FC236}">
              <a16:creationId xmlns:a16="http://schemas.microsoft.com/office/drawing/2014/main" id="{00000000-0008-0000-0800-00009B18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6300" name="AutoShape 124">
          <a:extLst>
            <a:ext uri="{FF2B5EF4-FFF2-40B4-BE49-F238E27FC236}">
              <a16:creationId xmlns:a16="http://schemas.microsoft.com/office/drawing/2014/main" id="{00000000-0008-0000-0800-00009C18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2346" name="Group 23">
          <a:extLst>
            <a:ext uri="{FF2B5EF4-FFF2-40B4-BE49-F238E27FC236}">
              <a16:creationId xmlns:a16="http://schemas.microsoft.com/office/drawing/2014/main" id="{00000000-0008-0000-0900-00003A300000}"/>
            </a:ext>
          </a:extLst>
        </xdr:cNvPr>
        <xdr:cNvGrpSpPr>
          <a:grpSpLocks/>
        </xdr:cNvGrpSpPr>
      </xdr:nvGrpSpPr>
      <xdr:grpSpPr bwMode="auto">
        <a:xfrm>
          <a:off x="123825" y="209550"/>
          <a:ext cx="933450" cy="523875"/>
          <a:chOff x="15" y="21"/>
          <a:chExt cx="110" cy="60"/>
        </a:xfrm>
      </xdr:grpSpPr>
      <xdr:pic>
        <xdr:nvPicPr>
          <xdr:cNvPr id="12361" name="Picture 24" descr="kmu_check_up">
            <a:hlinkClick xmlns:r="http://schemas.openxmlformats.org/officeDocument/2006/relationships" r:id="rId1"/>
            <a:extLst>
              <a:ext uri="{FF2B5EF4-FFF2-40B4-BE49-F238E27FC236}">
                <a16:creationId xmlns:a16="http://schemas.microsoft.com/office/drawing/2014/main" id="{00000000-0008-0000-0900-0000493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2313" name="Text Box 25">
            <a:extLst>
              <a:ext uri="{FF2B5EF4-FFF2-40B4-BE49-F238E27FC236}">
                <a16:creationId xmlns:a16="http://schemas.microsoft.com/office/drawing/2014/main" id="{00000000-0008-0000-0900-00001930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2314" name="Text Box 26">
          <a:hlinkClick xmlns:r="http://schemas.openxmlformats.org/officeDocument/2006/relationships" r:id="rId3"/>
          <a:extLst>
            <a:ext uri="{FF2B5EF4-FFF2-40B4-BE49-F238E27FC236}">
              <a16:creationId xmlns:a16="http://schemas.microsoft.com/office/drawing/2014/main" id="{00000000-0008-0000-0900-00001A30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2315" name="Text Box 27" descr="50%">
          <a:hlinkClick xmlns:r="http://schemas.openxmlformats.org/officeDocument/2006/relationships" r:id="rId4"/>
          <a:extLst>
            <a:ext uri="{FF2B5EF4-FFF2-40B4-BE49-F238E27FC236}">
              <a16:creationId xmlns:a16="http://schemas.microsoft.com/office/drawing/2014/main" id="{00000000-0008-0000-0900-00001B300000}"/>
            </a:ext>
          </a:extLst>
        </xdr:cNvPr>
        <xdr:cNvSpPr txBox="1">
          <a:spLocks noChangeArrowheads="1"/>
        </xdr:cNvSpPr>
      </xdr:nvSpPr>
      <xdr:spPr bwMode="auto">
        <a:xfrm>
          <a:off x="127000" y="5626100"/>
          <a:ext cx="933450" cy="34925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2316" name="Text Box 28">
          <a:hlinkClick xmlns:r="http://schemas.openxmlformats.org/officeDocument/2006/relationships" r:id="rId5"/>
          <a:extLst>
            <a:ext uri="{FF2B5EF4-FFF2-40B4-BE49-F238E27FC236}">
              <a16:creationId xmlns:a16="http://schemas.microsoft.com/office/drawing/2014/main" id="{00000000-0008-0000-0900-00001C30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2317" name="Text Box 29">
          <a:hlinkClick xmlns:r="http://schemas.openxmlformats.org/officeDocument/2006/relationships" r:id="rId6"/>
          <a:extLst>
            <a:ext uri="{FF2B5EF4-FFF2-40B4-BE49-F238E27FC236}">
              <a16:creationId xmlns:a16="http://schemas.microsoft.com/office/drawing/2014/main" id="{00000000-0008-0000-0900-00001D30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2318" name="Text Box 30">
          <a:hlinkClick xmlns:r="http://schemas.openxmlformats.org/officeDocument/2006/relationships" r:id="rId7"/>
          <a:extLst>
            <a:ext uri="{FF2B5EF4-FFF2-40B4-BE49-F238E27FC236}">
              <a16:creationId xmlns:a16="http://schemas.microsoft.com/office/drawing/2014/main" id="{00000000-0008-0000-0900-00001E30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2319" name="Text Box 31">
          <a:hlinkClick xmlns:r="http://schemas.openxmlformats.org/officeDocument/2006/relationships" r:id="rId8"/>
          <a:extLst>
            <a:ext uri="{FF2B5EF4-FFF2-40B4-BE49-F238E27FC236}">
              <a16:creationId xmlns:a16="http://schemas.microsoft.com/office/drawing/2014/main" id="{00000000-0008-0000-0900-00001F30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2320" name="Text Box 32">
          <a:hlinkClick xmlns:r="http://schemas.openxmlformats.org/officeDocument/2006/relationships" r:id="rId9"/>
          <a:extLst>
            <a:ext uri="{FF2B5EF4-FFF2-40B4-BE49-F238E27FC236}">
              <a16:creationId xmlns:a16="http://schemas.microsoft.com/office/drawing/2014/main" id="{00000000-0008-0000-0900-00002030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2321" name="Text Box 33">
          <a:hlinkClick xmlns:r="http://schemas.openxmlformats.org/officeDocument/2006/relationships" r:id="rId10"/>
          <a:extLst>
            <a:ext uri="{FF2B5EF4-FFF2-40B4-BE49-F238E27FC236}">
              <a16:creationId xmlns:a16="http://schemas.microsoft.com/office/drawing/2014/main" id="{00000000-0008-0000-0900-00002130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2322" name="Text Box 34">
          <a:hlinkClick xmlns:r="http://schemas.openxmlformats.org/officeDocument/2006/relationships" r:id="rId11"/>
          <a:extLst>
            <a:ext uri="{FF2B5EF4-FFF2-40B4-BE49-F238E27FC236}">
              <a16:creationId xmlns:a16="http://schemas.microsoft.com/office/drawing/2014/main" id="{00000000-0008-0000-0900-00002230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2324" name="Text Box 36">
          <a:hlinkClick xmlns:r="http://schemas.openxmlformats.org/officeDocument/2006/relationships" r:id="rId12"/>
          <a:extLst>
            <a:ext uri="{FF2B5EF4-FFF2-40B4-BE49-F238E27FC236}">
              <a16:creationId xmlns:a16="http://schemas.microsoft.com/office/drawing/2014/main" id="{00000000-0008-0000-0900-00002430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2325" name="Text Box 37">
          <a:hlinkClick xmlns:r="http://schemas.openxmlformats.org/officeDocument/2006/relationships" r:id="rId13"/>
          <a:extLst>
            <a:ext uri="{FF2B5EF4-FFF2-40B4-BE49-F238E27FC236}">
              <a16:creationId xmlns:a16="http://schemas.microsoft.com/office/drawing/2014/main" id="{00000000-0008-0000-0900-00002530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2326" name="Text Box 38">
          <a:hlinkClick xmlns:r="http://schemas.openxmlformats.org/officeDocument/2006/relationships" r:id="rId14"/>
          <a:extLst>
            <a:ext uri="{FF2B5EF4-FFF2-40B4-BE49-F238E27FC236}">
              <a16:creationId xmlns:a16="http://schemas.microsoft.com/office/drawing/2014/main" id="{00000000-0008-0000-0900-00002630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2359" name="AutoShape 39">
          <a:extLst>
            <a:ext uri="{FF2B5EF4-FFF2-40B4-BE49-F238E27FC236}">
              <a16:creationId xmlns:a16="http://schemas.microsoft.com/office/drawing/2014/main" id="{00000000-0008-0000-0900-00004730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2360" name="AutoShape 40">
          <a:extLst>
            <a:ext uri="{FF2B5EF4-FFF2-40B4-BE49-F238E27FC236}">
              <a16:creationId xmlns:a16="http://schemas.microsoft.com/office/drawing/2014/main" id="{00000000-0008-0000-0900-00004830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3370" name="Group 23">
          <a:extLst>
            <a:ext uri="{FF2B5EF4-FFF2-40B4-BE49-F238E27FC236}">
              <a16:creationId xmlns:a16="http://schemas.microsoft.com/office/drawing/2014/main" id="{00000000-0008-0000-0A00-00003A340000}"/>
            </a:ext>
          </a:extLst>
        </xdr:cNvPr>
        <xdr:cNvGrpSpPr>
          <a:grpSpLocks/>
        </xdr:cNvGrpSpPr>
      </xdr:nvGrpSpPr>
      <xdr:grpSpPr bwMode="auto">
        <a:xfrm>
          <a:off x="123825" y="209550"/>
          <a:ext cx="933450" cy="523875"/>
          <a:chOff x="15" y="21"/>
          <a:chExt cx="110" cy="60"/>
        </a:xfrm>
      </xdr:grpSpPr>
      <xdr:pic>
        <xdr:nvPicPr>
          <xdr:cNvPr id="13385" name="Picture 24" descr="kmu_check_up">
            <a:hlinkClick xmlns:r="http://schemas.openxmlformats.org/officeDocument/2006/relationships" r:id="rId1"/>
            <a:extLst>
              <a:ext uri="{FF2B5EF4-FFF2-40B4-BE49-F238E27FC236}">
                <a16:creationId xmlns:a16="http://schemas.microsoft.com/office/drawing/2014/main" id="{00000000-0008-0000-0A00-0000493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3337" name="Text Box 25">
            <a:extLst>
              <a:ext uri="{FF2B5EF4-FFF2-40B4-BE49-F238E27FC236}">
                <a16:creationId xmlns:a16="http://schemas.microsoft.com/office/drawing/2014/main" id="{00000000-0008-0000-0A00-00001934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3338" name="Text Box 26">
          <a:hlinkClick xmlns:r="http://schemas.openxmlformats.org/officeDocument/2006/relationships" r:id="rId3"/>
          <a:extLst>
            <a:ext uri="{FF2B5EF4-FFF2-40B4-BE49-F238E27FC236}">
              <a16:creationId xmlns:a16="http://schemas.microsoft.com/office/drawing/2014/main" id="{00000000-0008-0000-0A00-00001A34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3339" name="Text Box 27">
          <a:hlinkClick xmlns:r="http://schemas.openxmlformats.org/officeDocument/2006/relationships" r:id="rId4"/>
          <a:extLst>
            <a:ext uri="{FF2B5EF4-FFF2-40B4-BE49-F238E27FC236}">
              <a16:creationId xmlns:a16="http://schemas.microsoft.com/office/drawing/2014/main" id="{00000000-0008-0000-0A00-00001B34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3340" name="Text Box 28" descr="50%">
          <a:hlinkClick xmlns:r="http://schemas.openxmlformats.org/officeDocument/2006/relationships" r:id="rId5"/>
          <a:extLst>
            <a:ext uri="{FF2B5EF4-FFF2-40B4-BE49-F238E27FC236}">
              <a16:creationId xmlns:a16="http://schemas.microsoft.com/office/drawing/2014/main" id="{00000000-0008-0000-0A00-00001C340000}"/>
            </a:ext>
          </a:extLst>
        </xdr:cNvPr>
        <xdr:cNvSpPr txBox="1">
          <a:spLocks noChangeArrowheads="1"/>
        </xdr:cNvSpPr>
      </xdr:nvSpPr>
      <xdr:spPr bwMode="auto">
        <a:xfrm>
          <a:off x="127000" y="6013450"/>
          <a:ext cx="933450" cy="36195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3341" name="Text Box 29">
          <a:hlinkClick xmlns:r="http://schemas.openxmlformats.org/officeDocument/2006/relationships" r:id="rId6"/>
          <a:extLst>
            <a:ext uri="{FF2B5EF4-FFF2-40B4-BE49-F238E27FC236}">
              <a16:creationId xmlns:a16="http://schemas.microsoft.com/office/drawing/2014/main" id="{00000000-0008-0000-0A00-00001D34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3342" name="Text Box 30">
          <a:hlinkClick xmlns:r="http://schemas.openxmlformats.org/officeDocument/2006/relationships" r:id="rId7"/>
          <a:extLst>
            <a:ext uri="{FF2B5EF4-FFF2-40B4-BE49-F238E27FC236}">
              <a16:creationId xmlns:a16="http://schemas.microsoft.com/office/drawing/2014/main" id="{00000000-0008-0000-0A00-00001E34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3343" name="Text Box 31">
          <a:hlinkClick xmlns:r="http://schemas.openxmlformats.org/officeDocument/2006/relationships" r:id="rId8"/>
          <a:extLst>
            <a:ext uri="{FF2B5EF4-FFF2-40B4-BE49-F238E27FC236}">
              <a16:creationId xmlns:a16="http://schemas.microsoft.com/office/drawing/2014/main" id="{00000000-0008-0000-0A00-00001F34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3344" name="Text Box 32">
          <a:hlinkClick xmlns:r="http://schemas.openxmlformats.org/officeDocument/2006/relationships" r:id="rId9"/>
          <a:extLst>
            <a:ext uri="{FF2B5EF4-FFF2-40B4-BE49-F238E27FC236}">
              <a16:creationId xmlns:a16="http://schemas.microsoft.com/office/drawing/2014/main" id="{00000000-0008-0000-0A00-00002034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3345" name="Text Box 33">
          <a:hlinkClick xmlns:r="http://schemas.openxmlformats.org/officeDocument/2006/relationships" r:id="rId10"/>
          <a:extLst>
            <a:ext uri="{FF2B5EF4-FFF2-40B4-BE49-F238E27FC236}">
              <a16:creationId xmlns:a16="http://schemas.microsoft.com/office/drawing/2014/main" id="{00000000-0008-0000-0A00-00002134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3346" name="Text Box 34">
          <a:hlinkClick xmlns:r="http://schemas.openxmlformats.org/officeDocument/2006/relationships" r:id="rId11"/>
          <a:extLst>
            <a:ext uri="{FF2B5EF4-FFF2-40B4-BE49-F238E27FC236}">
              <a16:creationId xmlns:a16="http://schemas.microsoft.com/office/drawing/2014/main" id="{00000000-0008-0000-0A00-00002234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3348" name="Text Box 36">
          <a:hlinkClick xmlns:r="http://schemas.openxmlformats.org/officeDocument/2006/relationships" r:id="rId12"/>
          <a:extLst>
            <a:ext uri="{FF2B5EF4-FFF2-40B4-BE49-F238E27FC236}">
              <a16:creationId xmlns:a16="http://schemas.microsoft.com/office/drawing/2014/main" id="{00000000-0008-0000-0A00-00002434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3349" name="Text Box 37">
          <a:hlinkClick xmlns:r="http://schemas.openxmlformats.org/officeDocument/2006/relationships" r:id="rId13"/>
          <a:extLst>
            <a:ext uri="{FF2B5EF4-FFF2-40B4-BE49-F238E27FC236}">
              <a16:creationId xmlns:a16="http://schemas.microsoft.com/office/drawing/2014/main" id="{00000000-0008-0000-0A00-00002534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3350" name="Text Box 38">
          <a:hlinkClick xmlns:r="http://schemas.openxmlformats.org/officeDocument/2006/relationships" r:id="rId14"/>
          <a:extLst>
            <a:ext uri="{FF2B5EF4-FFF2-40B4-BE49-F238E27FC236}">
              <a16:creationId xmlns:a16="http://schemas.microsoft.com/office/drawing/2014/main" id="{00000000-0008-0000-0A00-00002634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3383" name="AutoShape 39">
          <a:extLst>
            <a:ext uri="{FF2B5EF4-FFF2-40B4-BE49-F238E27FC236}">
              <a16:creationId xmlns:a16="http://schemas.microsoft.com/office/drawing/2014/main" id="{00000000-0008-0000-0A00-00004734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3384" name="AutoShape 40">
          <a:extLst>
            <a:ext uri="{FF2B5EF4-FFF2-40B4-BE49-F238E27FC236}">
              <a16:creationId xmlns:a16="http://schemas.microsoft.com/office/drawing/2014/main" id="{00000000-0008-0000-0A00-00004834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4394" name="Group 23">
          <a:extLst>
            <a:ext uri="{FF2B5EF4-FFF2-40B4-BE49-F238E27FC236}">
              <a16:creationId xmlns:a16="http://schemas.microsoft.com/office/drawing/2014/main" id="{00000000-0008-0000-0B00-00003A380000}"/>
            </a:ext>
          </a:extLst>
        </xdr:cNvPr>
        <xdr:cNvGrpSpPr>
          <a:grpSpLocks/>
        </xdr:cNvGrpSpPr>
      </xdr:nvGrpSpPr>
      <xdr:grpSpPr bwMode="auto">
        <a:xfrm>
          <a:off x="123825" y="209550"/>
          <a:ext cx="933450" cy="523875"/>
          <a:chOff x="15" y="21"/>
          <a:chExt cx="110" cy="60"/>
        </a:xfrm>
      </xdr:grpSpPr>
      <xdr:pic>
        <xdr:nvPicPr>
          <xdr:cNvPr id="14409" name="Picture 24" descr="kmu_check_up">
            <a:hlinkClick xmlns:r="http://schemas.openxmlformats.org/officeDocument/2006/relationships" r:id="rId1"/>
            <a:extLst>
              <a:ext uri="{FF2B5EF4-FFF2-40B4-BE49-F238E27FC236}">
                <a16:creationId xmlns:a16="http://schemas.microsoft.com/office/drawing/2014/main" id="{00000000-0008-0000-0B00-0000493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4361" name="Text Box 25">
            <a:extLst>
              <a:ext uri="{FF2B5EF4-FFF2-40B4-BE49-F238E27FC236}">
                <a16:creationId xmlns:a16="http://schemas.microsoft.com/office/drawing/2014/main" id="{00000000-0008-0000-0B00-00001938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4362" name="Text Box 26">
          <a:hlinkClick xmlns:r="http://schemas.openxmlformats.org/officeDocument/2006/relationships" r:id="rId3"/>
          <a:extLst>
            <a:ext uri="{FF2B5EF4-FFF2-40B4-BE49-F238E27FC236}">
              <a16:creationId xmlns:a16="http://schemas.microsoft.com/office/drawing/2014/main" id="{00000000-0008-0000-0B00-00001A38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4363" name="Text Box 27">
          <a:hlinkClick xmlns:r="http://schemas.openxmlformats.org/officeDocument/2006/relationships" r:id="rId4"/>
          <a:extLst>
            <a:ext uri="{FF2B5EF4-FFF2-40B4-BE49-F238E27FC236}">
              <a16:creationId xmlns:a16="http://schemas.microsoft.com/office/drawing/2014/main" id="{00000000-0008-0000-0B00-00001B38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4364" name="Text Box 28">
          <a:hlinkClick xmlns:r="http://schemas.openxmlformats.org/officeDocument/2006/relationships" r:id="rId5"/>
          <a:extLst>
            <a:ext uri="{FF2B5EF4-FFF2-40B4-BE49-F238E27FC236}">
              <a16:creationId xmlns:a16="http://schemas.microsoft.com/office/drawing/2014/main" id="{00000000-0008-0000-0B00-00001C38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4365" name="Text Box 29" descr="50%">
          <a:hlinkClick xmlns:r="http://schemas.openxmlformats.org/officeDocument/2006/relationships" r:id="rId6"/>
          <a:extLst>
            <a:ext uri="{FF2B5EF4-FFF2-40B4-BE49-F238E27FC236}">
              <a16:creationId xmlns:a16="http://schemas.microsoft.com/office/drawing/2014/main" id="{00000000-0008-0000-0B00-00001D380000}"/>
            </a:ext>
          </a:extLst>
        </xdr:cNvPr>
        <xdr:cNvSpPr txBox="1">
          <a:spLocks noChangeArrowheads="1"/>
        </xdr:cNvSpPr>
      </xdr:nvSpPr>
      <xdr:spPr bwMode="auto">
        <a:xfrm>
          <a:off x="127000" y="6413500"/>
          <a:ext cx="933450" cy="36830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4366" name="Text Box 30">
          <a:hlinkClick xmlns:r="http://schemas.openxmlformats.org/officeDocument/2006/relationships" r:id="rId7"/>
          <a:extLst>
            <a:ext uri="{FF2B5EF4-FFF2-40B4-BE49-F238E27FC236}">
              <a16:creationId xmlns:a16="http://schemas.microsoft.com/office/drawing/2014/main" id="{00000000-0008-0000-0B00-00001E380000}"/>
            </a:ext>
          </a:extLst>
        </xdr:cNvPr>
        <xdr:cNvSpPr txBox="1">
          <a:spLocks noChangeArrowheads="1"/>
        </xdr:cNvSpPr>
      </xdr:nvSpPr>
      <xdr:spPr bwMode="auto">
        <a:xfrm>
          <a:off x="127000" y="68199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4367" name="Text Box 31">
          <a:hlinkClick xmlns:r="http://schemas.openxmlformats.org/officeDocument/2006/relationships" r:id="rId8"/>
          <a:extLst>
            <a:ext uri="{FF2B5EF4-FFF2-40B4-BE49-F238E27FC236}">
              <a16:creationId xmlns:a16="http://schemas.microsoft.com/office/drawing/2014/main" id="{00000000-0008-0000-0B00-00001F38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4368" name="Text Box 32">
          <a:hlinkClick xmlns:r="http://schemas.openxmlformats.org/officeDocument/2006/relationships" r:id="rId9"/>
          <a:extLst>
            <a:ext uri="{FF2B5EF4-FFF2-40B4-BE49-F238E27FC236}">
              <a16:creationId xmlns:a16="http://schemas.microsoft.com/office/drawing/2014/main" id="{00000000-0008-0000-0B00-00002038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4369" name="Text Box 33">
          <a:hlinkClick xmlns:r="http://schemas.openxmlformats.org/officeDocument/2006/relationships" r:id="rId10"/>
          <a:extLst>
            <a:ext uri="{FF2B5EF4-FFF2-40B4-BE49-F238E27FC236}">
              <a16:creationId xmlns:a16="http://schemas.microsoft.com/office/drawing/2014/main" id="{00000000-0008-0000-0B00-00002138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4370" name="Text Box 34">
          <a:hlinkClick xmlns:r="http://schemas.openxmlformats.org/officeDocument/2006/relationships" r:id="rId11"/>
          <a:extLst>
            <a:ext uri="{FF2B5EF4-FFF2-40B4-BE49-F238E27FC236}">
              <a16:creationId xmlns:a16="http://schemas.microsoft.com/office/drawing/2014/main" id="{00000000-0008-0000-0B00-00002238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4372" name="Text Box 36">
          <a:hlinkClick xmlns:r="http://schemas.openxmlformats.org/officeDocument/2006/relationships" r:id="rId12"/>
          <a:extLst>
            <a:ext uri="{FF2B5EF4-FFF2-40B4-BE49-F238E27FC236}">
              <a16:creationId xmlns:a16="http://schemas.microsoft.com/office/drawing/2014/main" id="{00000000-0008-0000-0B00-00002438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4373" name="Text Box 37">
          <a:hlinkClick xmlns:r="http://schemas.openxmlformats.org/officeDocument/2006/relationships" r:id="rId13"/>
          <a:extLst>
            <a:ext uri="{FF2B5EF4-FFF2-40B4-BE49-F238E27FC236}">
              <a16:creationId xmlns:a16="http://schemas.microsoft.com/office/drawing/2014/main" id="{00000000-0008-0000-0B00-00002538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4374" name="Text Box 38">
          <a:hlinkClick xmlns:r="http://schemas.openxmlformats.org/officeDocument/2006/relationships" r:id="rId14"/>
          <a:extLst>
            <a:ext uri="{FF2B5EF4-FFF2-40B4-BE49-F238E27FC236}">
              <a16:creationId xmlns:a16="http://schemas.microsoft.com/office/drawing/2014/main" id="{00000000-0008-0000-0B00-00002638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4407" name="AutoShape 39">
          <a:extLst>
            <a:ext uri="{FF2B5EF4-FFF2-40B4-BE49-F238E27FC236}">
              <a16:creationId xmlns:a16="http://schemas.microsoft.com/office/drawing/2014/main" id="{00000000-0008-0000-0B00-00004738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4408" name="AutoShape 40">
          <a:extLst>
            <a:ext uri="{FF2B5EF4-FFF2-40B4-BE49-F238E27FC236}">
              <a16:creationId xmlns:a16="http://schemas.microsoft.com/office/drawing/2014/main" id="{00000000-0008-0000-0B00-00004838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123825</xdr:colOff>
      <xdr:row>2</xdr:row>
      <xdr:rowOff>19050</xdr:rowOff>
    </xdr:from>
    <xdr:to>
      <xdr:col>1</xdr:col>
      <xdr:colOff>180975</xdr:colOff>
      <xdr:row>4</xdr:row>
      <xdr:rowOff>9525</xdr:rowOff>
    </xdr:to>
    <xdr:grpSp>
      <xdr:nvGrpSpPr>
        <xdr:cNvPr id="15418" name="Group 23">
          <a:extLst>
            <a:ext uri="{FF2B5EF4-FFF2-40B4-BE49-F238E27FC236}">
              <a16:creationId xmlns:a16="http://schemas.microsoft.com/office/drawing/2014/main" id="{00000000-0008-0000-0C00-00003A3C0000}"/>
            </a:ext>
          </a:extLst>
        </xdr:cNvPr>
        <xdr:cNvGrpSpPr>
          <a:grpSpLocks/>
        </xdr:cNvGrpSpPr>
      </xdr:nvGrpSpPr>
      <xdr:grpSpPr bwMode="auto">
        <a:xfrm>
          <a:off x="123825" y="209550"/>
          <a:ext cx="933450" cy="523875"/>
          <a:chOff x="15" y="21"/>
          <a:chExt cx="110" cy="60"/>
        </a:xfrm>
      </xdr:grpSpPr>
      <xdr:pic>
        <xdr:nvPicPr>
          <xdr:cNvPr id="15433" name="Picture 24" descr="kmu_check_up">
            <a:hlinkClick xmlns:r="http://schemas.openxmlformats.org/officeDocument/2006/relationships" r:id="rId1"/>
            <a:extLst>
              <a:ext uri="{FF2B5EF4-FFF2-40B4-BE49-F238E27FC236}">
                <a16:creationId xmlns:a16="http://schemas.microsoft.com/office/drawing/2014/main" id="{00000000-0008-0000-0C00-0000493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20300" b="8000"/>
          <a:stretch>
            <a:fillRect/>
          </a:stretch>
        </xdr:blipFill>
        <xdr:spPr bwMode="auto">
          <a:xfrm>
            <a:off x="15" y="21"/>
            <a:ext cx="110" cy="60"/>
          </a:xfrm>
          <a:prstGeom prst="rect">
            <a:avLst/>
          </a:prstGeom>
          <a:noFill/>
          <a:ln>
            <a:noFill/>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cap="rnd">
                <a:solidFill>
                  <a:srgbClr xmlns:mc="http://schemas.openxmlformats.org/markup-compatibility/2006" val="000000" mc:Ignorable="a14" a14:legacySpreadsheetColorIndex="8"/>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Lst>
        </xdr:spPr>
      </xdr:pic>
      <xdr:sp macro="" textlink="">
        <xdr:nvSpPr>
          <xdr:cNvPr id="15385" name="Text Box 25">
            <a:extLst>
              <a:ext uri="{FF2B5EF4-FFF2-40B4-BE49-F238E27FC236}">
                <a16:creationId xmlns:a16="http://schemas.microsoft.com/office/drawing/2014/main" id="{00000000-0008-0000-0C00-0000193C0000}"/>
              </a:ext>
            </a:extLst>
          </xdr:cNvPr>
          <xdr:cNvSpPr txBox="1">
            <a:spLocks noChangeArrowheads="1"/>
          </xdr:cNvSpPr>
        </xdr:nvSpPr>
        <xdr:spPr bwMode="auto">
          <a:xfrm>
            <a:off x="15" y="25"/>
            <a:ext cx="48" cy="23"/>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0" bIns="0" anchor="t" upright="1"/>
          <a:lstStyle/>
          <a:p>
            <a:pPr algn="l" rtl="0">
              <a:defRPr sz="1000"/>
            </a:pPr>
            <a:r>
              <a:rPr lang="de-CH" sz="1000" b="1" i="0" u="none" strike="noStrike" baseline="0">
                <a:solidFill>
                  <a:srgbClr val="000000"/>
                </a:solidFill>
                <a:latin typeface="Arial"/>
                <a:cs typeface="Arial"/>
              </a:rPr>
              <a:t>Home</a:t>
            </a:r>
          </a:p>
        </xdr:txBody>
      </xdr:sp>
    </xdr:grpSp>
    <xdr:clientData/>
  </xdr:twoCellAnchor>
  <xdr:twoCellAnchor>
    <xdr:from>
      <xdr:col>0</xdr:col>
      <xdr:colOff>127000</xdr:colOff>
      <xdr:row>32</xdr:row>
      <xdr:rowOff>19050</xdr:rowOff>
    </xdr:from>
    <xdr:to>
      <xdr:col>1</xdr:col>
      <xdr:colOff>184150</xdr:colOff>
      <xdr:row>34</xdr:row>
      <xdr:rowOff>57150</xdr:rowOff>
    </xdr:to>
    <xdr:sp macro="" textlink="">
      <xdr:nvSpPr>
        <xdr:cNvPr id="15386" name="Text Box 26">
          <a:hlinkClick xmlns:r="http://schemas.openxmlformats.org/officeDocument/2006/relationships" r:id="rId3"/>
          <a:extLst>
            <a:ext uri="{FF2B5EF4-FFF2-40B4-BE49-F238E27FC236}">
              <a16:creationId xmlns:a16="http://schemas.microsoft.com/office/drawing/2014/main" id="{00000000-0008-0000-0C00-00001A3C0000}"/>
            </a:ext>
          </a:extLst>
        </xdr:cNvPr>
        <xdr:cNvSpPr txBox="1">
          <a:spLocks noChangeArrowheads="1"/>
        </xdr:cNvSpPr>
      </xdr:nvSpPr>
      <xdr:spPr bwMode="auto">
        <a:xfrm>
          <a:off x="127000" y="5232400"/>
          <a:ext cx="933450" cy="3556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1</a:t>
          </a:r>
        </a:p>
      </xdr:txBody>
    </xdr:sp>
    <xdr:clientData/>
  </xdr:twoCellAnchor>
  <xdr:twoCellAnchor>
    <xdr:from>
      <xdr:col>0</xdr:col>
      <xdr:colOff>127000</xdr:colOff>
      <xdr:row>34</xdr:row>
      <xdr:rowOff>95250</xdr:rowOff>
    </xdr:from>
    <xdr:to>
      <xdr:col>1</xdr:col>
      <xdr:colOff>184150</xdr:colOff>
      <xdr:row>36</xdr:row>
      <xdr:rowOff>136439</xdr:rowOff>
    </xdr:to>
    <xdr:sp macro="" textlink="">
      <xdr:nvSpPr>
        <xdr:cNvPr id="15387" name="Text Box 27">
          <a:hlinkClick xmlns:r="http://schemas.openxmlformats.org/officeDocument/2006/relationships" r:id="rId4"/>
          <a:extLst>
            <a:ext uri="{FF2B5EF4-FFF2-40B4-BE49-F238E27FC236}">
              <a16:creationId xmlns:a16="http://schemas.microsoft.com/office/drawing/2014/main" id="{00000000-0008-0000-0C00-00001B3C0000}"/>
            </a:ext>
          </a:extLst>
        </xdr:cNvPr>
        <xdr:cNvSpPr txBox="1">
          <a:spLocks noChangeArrowheads="1"/>
        </xdr:cNvSpPr>
      </xdr:nvSpPr>
      <xdr:spPr bwMode="auto">
        <a:xfrm>
          <a:off x="127000" y="5626100"/>
          <a:ext cx="933450" cy="3492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2</a:t>
          </a:r>
        </a:p>
      </xdr:txBody>
    </xdr:sp>
    <xdr:clientData/>
  </xdr:twoCellAnchor>
  <xdr:twoCellAnchor>
    <xdr:from>
      <xdr:col>0</xdr:col>
      <xdr:colOff>127000</xdr:colOff>
      <xdr:row>37</xdr:row>
      <xdr:rowOff>0</xdr:rowOff>
    </xdr:from>
    <xdr:to>
      <xdr:col>1</xdr:col>
      <xdr:colOff>184150</xdr:colOff>
      <xdr:row>39</xdr:row>
      <xdr:rowOff>3115</xdr:rowOff>
    </xdr:to>
    <xdr:sp macro="" textlink="">
      <xdr:nvSpPr>
        <xdr:cNvPr id="15388" name="Text Box 28">
          <a:hlinkClick xmlns:r="http://schemas.openxmlformats.org/officeDocument/2006/relationships" r:id="rId5"/>
          <a:extLst>
            <a:ext uri="{FF2B5EF4-FFF2-40B4-BE49-F238E27FC236}">
              <a16:creationId xmlns:a16="http://schemas.microsoft.com/office/drawing/2014/main" id="{00000000-0008-0000-0C00-00001C3C0000}"/>
            </a:ext>
          </a:extLst>
        </xdr:cNvPr>
        <xdr:cNvSpPr txBox="1">
          <a:spLocks noChangeArrowheads="1"/>
        </xdr:cNvSpPr>
      </xdr:nvSpPr>
      <xdr:spPr bwMode="auto">
        <a:xfrm>
          <a:off x="127000" y="6013450"/>
          <a:ext cx="933450" cy="36195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3</a:t>
          </a:r>
        </a:p>
      </xdr:txBody>
    </xdr:sp>
    <xdr:clientData/>
  </xdr:twoCellAnchor>
  <xdr:twoCellAnchor>
    <xdr:from>
      <xdr:col>0</xdr:col>
      <xdr:colOff>127000</xdr:colOff>
      <xdr:row>39</xdr:row>
      <xdr:rowOff>41275</xdr:rowOff>
    </xdr:from>
    <xdr:to>
      <xdr:col>1</xdr:col>
      <xdr:colOff>184150</xdr:colOff>
      <xdr:row>41</xdr:row>
      <xdr:rowOff>88986</xdr:rowOff>
    </xdr:to>
    <xdr:sp macro="" textlink="">
      <xdr:nvSpPr>
        <xdr:cNvPr id="15389" name="Text Box 29">
          <a:hlinkClick xmlns:r="http://schemas.openxmlformats.org/officeDocument/2006/relationships" r:id="rId6"/>
          <a:extLst>
            <a:ext uri="{FF2B5EF4-FFF2-40B4-BE49-F238E27FC236}">
              <a16:creationId xmlns:a16="http://schemas.microsoft.com/office/drawing/2014/main" id="{00000000-0008-0000-0C00-00001D3C0000}"/>
            </a:ext>
          </a:extLst>
        </xdr:cNvPr>
        <xdr:cNvSpPr txBox="1">
          <a:spLocks noChangeArrowheads="1"/>
        </xdr:cNvSpPr>
      </xdr:nvSpPr>
      <xdr:spPr bwMode="auto">
        <a:xfrm>
          <a:off x="127000" y="6413500"/>
          <a:ext cx="933450" cy="368300"/>
        </a:xfrm>
        <a:prstGeom prst="rect">
          <a:avLst/>
        </a:prstGeom>
        <a:solidFill>
          <a:srgbClr xmlns:mc="http://schemas.openxmlformats.org/markup-compatibility/2006" xmlns:a14="http://schemas.microsoft.com/office/drawing/2010/main" val="57B7DC" mc:Ignorable="a14" a14:legacySpreadsheetColorIndex="49"/>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4</a:t>
          </a:r>
        </a:p>
      </xdr:txBody>
    </xdr:sp>
    <xdr:clientData/>
  </xdr:twoCellAnchor>
  <xdr:twoCellAnchor>
    <xdr:from>
      <xdr:col>0</xdr:col>
      <xdr:colOff>127000</xdr:colOff>
      <xdr:row>41</xdr:row>
      <xdr:rowOff>127000</xdr:rowOff>
    </xdr:from>
    <xdr:to>
      <xdr:col>1</xdr:col>
      <xdr:colOff>184150</xdr:colOff>
      <xdr:row>44</xdr:row>
      <xdr:rowOff>0</xdr:rowOff>
    </xdr:to>
    <xdr:sp macro="" textlink="">
      <xdr:nvSpPr>
        <xdr:cNvPr id="15390" name="Text Box 30" descr="50%">
          <a:hlinkClick xmlns:r="http://schemas.openxmlformats.org/officeDocument/2006/relationships" r:id="rId7"/>
          <a:extLst>
            <a:ext uri="{FF2B5EF4-FFF2-40B4-BE49-F238E27FC236}">
              <a16:creationId xmlns:a16="http://schemas.microsoft.com/office/drawing/2014/main" id="{00000000-0008-0000-0C00-00001E3C0000}"/>
            </a:ext>
          </a:extLst>
        </xdr:cNvPr>
        <xdr:cNvSpPr txBox="1">
          <a:spLocks noChangeArrowheads="1"/>
        </xdr:cNvSpPr>
      </xdr:nvSpPr>
      <xdr:spPr bwMode="auto">
        <a:xfrm>
          <a:off x="127000" y="6819900"/>
          <a:ext cx="933450" cy="368300"/>
        </a:xfrm>
        <a:prstGeom prst="rect">
          <a:avLst/>
        </a:prstGeom>
        <a:pattFill prst="pct50">
          <a:fgClr>
            <a:srgbClr xmlns:mc="http://schemas.openxmlformats.org/markup-compatibility/2006" xmlns:a14="http://schemas.microsoft.com/office/drawing/2010/main" val="57B7DC" mc:Ignorable="a14" a14:legacySpreadsheetColorIndex="49"/>
          </a:fgClr>
          <a:bgClr>
            <a:srgbClr val="FFFFFF"/>
          </a:bgClr>
        </a:patt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000000"/>
              </a:solidFill>
              <a:latin typeface="Arial"/>
              <a:cs typeface="Arial"/>
            </a:rPr>
            <a:t>Liquiditätsplan</a:t>
          </a:r>
        </a:p>
        <a:p>
          <a:pPr algn="l" rtl="0">
            <a:lnSpc>
              <a:spcPts val="1000"/>
            </a:lnSpc>
            <a:defRPr sz="1000"/>
          </a:pPr>
          <a:r>
            <a:rPr lang="de-CH" sz="1000" b="0" i="0" u="none" strike="noStrike" baseline="0">
              <a:solidFill>
                <a:srgbClr val="000000"/>
              </a:solidFill>
              <a:latin typeface="Arial"/>
              <a:cs typeface="Arial"/>
            </a:rPr>
            <a:t>Jahr 5</a:t>
          </a:r>
        </a:p>
      </xdr:txBody>
    </xdr:sp>
    <xdr:clientData/>
  </xdr:twoCellAnchor>
  <xdr:twoCellAnchor>
    <xdr:from>
      <xdr:col>0</xdr:col>
      <xdr:colOff>127000</xdr:colOff>
      <xdr:row>21</xdr:row>
      <xdr:rowOff>114300</xdr:rowOff>
    </xdr:from>
    <xdr:to>
      <xdr:col>1</xdr:col>
      <xdr:colOff>184150</xdr:colOff>
      <xdr:row>23</xdr:row>
      <xdr:rowOff>152400</xdr:rowOff>
    </xdr:to>
    <xdr:sp macro="" textlink="">
      <xdr:nvSpPr>
        <xdr:cNvPr id="15391" name="Text Box 31">
          <a:hlinkClick xmlns:r="http://schemas.openxmlformats.org/officeDocument/2006/relationships" r:id="rId8"/>
          <a:extLst>
            <a:ext uri="{FF2B5EF4-FFF2-40B4-BE49-F238E27FC236}">
              <a16:creationId xmlns:a16="http://schemas.microsoft.com/office/drawing/2014/main" id="{00000000-0008-0000-0C00-00001F3C0000}"/>
            </a:ext>
          </a:extLst>
        </xdr:cNvPr>
        <xdr:cNvSpPr txBox="1">
          <a:spLocks noChangeArrowheads="1"/>
        </xdr:cNvSpPr>
      </xdr:nvSpPr>
      <xdr:spPr bwMode="auto">
        <a:xfrm>
          <a:off x="127000" y="358140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Planbilanz</a:t>
          </a:r>
        </a:p>
      </xdr:txBody>
    </xdr:sp>
    <xdr:clientData/>
  </xdr:twoCellAnchor>
  <xdr:twoCellAnchor>
    <xdr:from>
      <xdr:col>0</xdr:col>
      <xdr:colOff>127000</xdr:colOff>
      <xdr:row>24</xdr:row>
      <xdr:rowOff>34925</xdr:rowOff>
    </xdr:from>
    <xdr:to>
      <xdr:col>1</xdr:col>
      <xdr:colOff>184150</xdr:colOff>
      <xdr:row>26</xdr:row>
      <xdr:rowOff>63667</xdr:rowOff>
    </xdr:to>
    <xdr:sp macro="" textlink="">
      <xdr:nvSpPr>
        <xdr:cNvPr id="15392" name="Text Box 32">
          <a:hlinkClick xmlns:r="http://schemas.openxmlformats.org/officeDocument/2006/relationships" r:id="rId9"/>
          <a:extLst>
            <a:ext uri="{FF2B5EF4-FFF2-40B4-BE49-F238E27FC236}">
              <a16:creationId xmlns:a16="http://schemas.microsoft.com/office/drawing/2014/main" id="{00000000-0008-0000-0C00-0000203C0000}"/>
            </a:ext>
          </a:extLst>
        </xdr:cNvPr>
        <xdr:cNvSpPr txBox="1">
          <a:spLocks noChangeArrowheads="1"/>
        </xdr:cNvSpPr>
      </xdr:nvSpPr>
      <xdr:spPr bwMode="auto">
        <a:xfrm>
          <a:off x="127000" y="39687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Plan-ER</a:t>
          </a:r>
        </a:p>
      </xdr:txBody>
    </xdr:sp>
    <xdr:clientData/>
  </xdr:twoCellAnchor>
  <xdr:twoCellAnchor>
    <xdr:from>
      <xdr:col>0</xdr:col>
      <xdr:colOff>127000</xdr:colOff>
      <xdr:row>26</xdr:row>
      <xdr:rowOff>101600</xdr:rowOff>
    </xdr:from>
    <xdr:to>
      <xdr:col>1</xdr:col>
      <xdr:colOff>184150</xdr:colOff>
      <xdr:row>28</xdr:row>
      <xdr:rowOff>139700</xdr:rowOff>
    </xdr:to>
    <xdr:sp macro="" textlink="">
      <xdr:nvSpPr>
        <xdr:cNvPr id="15393" name="Text Box 33">
          <a:hlinkClick xmlns:r="http://schemas.openxmlformats.org/officeDocument/2006/relationships" r:id="rId10"/>
          <a:extLst>
            <a:ext uri="{FF2B5EF4-FFF2-40B4-BE49-F238E27FC236}">
              <a16:creationId xmlns:a16="http://schemas.microsoft.com/office/drawing/2014/main" id="{00000000-0008-0000-0C00-0000213C0000}"/>
            </a:ext>
          </a:extLst>
        </xdr:cNvPr>
        <xdr:cNvSpPr txBox="1">
          <a:spLocks noChangeArrowheads="1"/>
        </xdr:cNvSpPr>
      </xdr:nvSpPr>
      <xdr:spPr bwMode="auto">
        <a:xfrm>
          <a:off x="127000" y="43624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Plan-MFR</a:t>
          </a:r>
        </a:p>
      </xdr:txBody>
    </xdr:sp>
    <xdr:clientData/>
  </xdr:twoCellAnchor>
  <xdr:twoCellAnchor>
    <xdr:from>
      <xdr:col>0</xdr:col>
      <xdr:colOff>127000</xdr:colOff>
      <xdr:row>29</xdr:row>
      <xdr:rowOff>19050</xdr:rowOff>
    </xdr:from>
    <xdr:to>
      <xdr:col>1</xdr:col>
      <xdr:colOff>184150</xdr:colOff>
      <xdr:row>31</xdr:row>
      <xdr:rowOff>57150</xdr:rowOff>
    </xdr:to>
    <xdr:sp macro="" textlink="">
      <xdr:nvSpPr>
        <xdr:cNvPr id="15394" name="Text Box 34">
          <a:hlinkClick xmlns:r="http://schemas.openxmlformats.org/officeDocument/2006/relationships" r:id="rId11"/>
          <a:extLst>
            <a:ext uri="{FF2B5EF4-FFF2-40B4-BE49-F238E27FC236}">
              <a16:creationId xmlns:a16="http://schemas.microsoft.com/office/drawing/2014/main" id="{00000000-0008-0000-0C00-0000223C0000}"/>
            </a:ext>
          </a:extLst>
        </xdr:cNvPr>
        <xdr:cNvSpPr txBox="1">
          <a:spLocks noChangeArrowheads="1"/>
        </xdr:cNvSpPr>
      </xdr:nvSpPr>
      <xdr:spPr bwMode="auto">
        <a:xfrm>
          <a:off x="127000" y="4756150"/>
          <a:ext cx="933450" cy="355600"/>
        </a:xfrm>
        <a:prstGeom prst="rect">
          <a:avLst/>
        </a:prstGeom>
        <a:solidFill>
          <a:srgbClr xmlns:mc="http://schemas.openxmlformats.org/markup-compatibility/2006" xmlns:a14="http://schemas.microsoft.com/office/drawing/2010/main" val="0093D1" mc:Ignorable="a14" a14:legacySpreadsheetColorIndex="21"/>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defRPr sz="1000"/>
          </a:pPr>
          <a:r>
            <a:rPr lang="de-CH" sz="1000" b="0" i="0" u="none" strike="noStrike" baseline="0">
              <a:solidFill>
                <a:srgbClr val="FFFFFF"/>
              </a:solidFill>
              <a:latin typeface="Arial"/>
              <a:cs typeface="Arial"/>
            </a:rPr>
            <a:t>Kennzahlen</a:t>
          </a:r>
        </a:p>
      </xdr:txBody>
    </xdr:sp>
    <xdr:clientData/>
  </xdr:twoCellAnchor>
  <xdr:twoCellAnchor>
    <xdr:from>
      <xdr:col>0</xdr:col>
      <xdr:colOff>127000</xdr:colOff>
      <xdr:row>4</xdr:row>
      <xdr:rowOff>69850</xdr:rowOff>
    </xdr:from>
    <xdr:to>
      <xdr:col>1</xdr:col>
      <xdr:colOff>184150</xdr:colOff>
      <xdr:row>9</xdr:row>
      <xdr:rowOff>38100</xdr:rowOff>
    </xdr:to>
    <xdr:sp macro="" textlink="">
      <xdr:nvSpPr>
        <xdr:cNvPr id="15396" name="Text Box 36">
          <a:hlinkClick xmlns:r="http://schemas.openxmlformats.org/officeDocument/2006/relationships" r:id="rId12"/>
          <a:extLst>
            <a:ext uri="{FF2B5EF4-FFF2-40B4-BE49-F238E27FC236}">
              <a16:creationId xmlns:a16="http://schemas.microsoft.com/office/drawing/2014/main" id="{00000000-0008-0000-0C00-0000243C0000}"/>
            </a:ext>
          </a:extLst>
        </xdr:cNvPr>
        <xdr:cNvSpPr txBox="1">
          <a:spLocks noChangeArrowheads="1"/>
        </xdr:cNvSpPr>
      </xdr:nvSpPr>
      <xdr:spPr bwMode="auto">
        <a:xfrm>
          <a:off x="127000" y="793750"/>
          <a:ext cx="933450" cy="8064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Eröffnungs-</a:t>
          </a:r>
        </a:p>
        <a:p>
          <a:pPr algn="l" rtl="0">
            <a:defRPr sz="1000"/>
          </a:pPr>
          <a:r>
            <a:rPr lang="de-CH" sz="1000" b="0" i="0" u="none" strike="noStrike" baseline="0">
              <a:solidFill>
                <a:srgbClr val="FFFFFF"/>
              </a:solidFill>
              <a:latin typeface="Arial"/>
              <a:cs typeface="Arial"/>
            </a:rPr>
            <a:t>bilanz &amp;</a:t>
          </a:r>
        </a:p>
        <a:p>
          <a:pPr algn="l" rtl="0">
            <a:defRPr sz="1000"/>
          </a:pPr>
          <a:r>
            <a:rPr lang="de-CH" sz="1000" b="0" i="0" u="none" strike="noStrike" baseline="0">
              <a:solidFill>
                <a:srgbClr val="FFFFFF"/>
              </a:solidFill>
              <a:latin typeface="Arial"/>
              <a:cs typeface="Arial"/>
            </a:rPr>
            <a:t>Bilanz-</a:t>
          </a:r>
        </a:p>
        <a:p>
          <a:pPr algn="l" rtl="0">
            <a:defRPr sz="1000"/>
          </a:pPr>
          <a:r>
            <a:rPr lang="de-CH" sz="1000" b="0" i="0" u="none" strike="noStrike" baseline="0">
              <a:solidFill>
                <a:srgbClr val="FFFFFF"/>
              </a:solidFill>
              <a:latin typeface="Arial"/>
              <a:cs typeface="Arial"/>
            </a:rPr>
            <a:t>parameter</a:t>
          </a:r>
        </a:p>
      </xdr:txBody>
    </xdr:sp>
    <xdr:clientData/>
  </xdr:twoCellAnchor>
  <xdr:twoCellAnchor>
    <xdr:from>
      <xdr:col>0</xdr:col>
      <xdr:colOff>127000</xdr:colOff>
      <xdr:row>10</xdr:row>
      <xdr:rowOff>101600</xdr:rowOff>
    </xdr:from>
    <xdr:to>
      <xdr:col>1</xdr:col>
      <xdr:colOff>184150</xdr:colOff>
      <xdr:row>15</xdr:row>
      <xdr:rowOff>19050</xdr:rowOff>
    </xdr:to>
    <xdr:sp macro="" textlink="">
      <xdr:nvSpPr>
        <xdr:cNvPr id="15397" name="Text Box 37">
          <a:hlinkClick xmlns:r="http://schemas.openxmlformats.org/officeDocument/2006/relationships" r:id="rId13"/>
          <a:extLst>
            <a:ext uri="{FF2B5EF4-FFF2-40B4-BE49-F238E27FC236}">
              <a16:creationId xmlns:a16="http://schemas.microsoft.com/office/drawing/2014/main" id="{00000000-0008-0000-0C00-0000253C0000}"/>
            </a:ext>
          </a:extLst>
        </xdr:cNvPr>
        <xdr:cNvSpPr txBox="1">
          <a:spLocks noChangeArrowheads="1"/>
        </xdr:cNvSpPr>
      </xdr:nvSpPr>
      <xdr:spPr bwMode="auto">
        <a:xfrm>
          <a:off x="127000" y="1822450"/>
          <a:ext cx="933450" cy="71120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100"/>
            </a:lnSpc>
            <a:defRPr sz="1000"/>
          </a:pPr>
          <a:r>
            <a:rPr lang="de-CH" sz="1000" b="0" i="0" u="none" strike="noStrike" baseline="0">
              <a:solidFill>
                <a:srgbClr val="FFFFFF"/>
              </a:solidFill>
              <a:latin typeface="Arial"/>
              <a:cs typeface="Arial"/>
            </a:rPr>
            <a:t>Geschäfts-</a:t>
          </a:r>
        </a:p>
        <a:p>
          <a:pPr algn="l" rtl="0">
            <a:lnSpc>
              <a:spcPts val="1100"/>
            </a:lnSpc>
            <a:defRPr sz="1000"/>
          </a:pPr>
          <a:r>
            <a:rPr lang="de-CH" sz="1000" b="0" i="0" u="none" strike="noStrike" baseline="0">
              <a:solidFill>
                <a:srgbClr val="FFFFFF"/>
              </a:solidFill>
              <a:latin typeface="Arial"/>
              <a:cs typeface="Arial"/>
            </a:rPr>
            <a:t>entwicklung &amp;</a:t>
          </a:r>
        </a:p>
        <a:p>
          <a:pPr algn="l" rtl="0">
            <a:defRPr sz="1000"/>
          </a:pPr>
          <a:r>
            <a:rPr lang="de-CH" sz="1000" b="0" i="0" u="none" strike="noStrike" baseline="0">
              <a:solidFill>
                <a:srgbClr val="FFFFFF"/>
              </a:solidFill>
              <a:latin typeface="Arial"/>
              <a:cs typeface="Arial"/>
            </a:rPr>
            <a:t>Investitions-</a:t>
          </a:r>
        </a:p>
        <a:p>
          <a:pPr algn="l" rtl="0">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127000</xdr:colOff>
      <xdr:row>16</xdr:row>
      <xdr:rowOff>82550</xdr:rowOff>
    </xdr:from>
    <xdr:to>
      <xdr:col>1</xdr:col>
      <xdr:colOff>184150</xdr:colOff>
      <xdr:row>20</xdr:row>
      <xdr:rowOff>152400</xdr:rowOff>
    </xdr:to>
    <xdr:sp macro="" textlink="">
      <xdr:nvSpPr>
        <xdr:cNvPr id="15398" name="Text Box 38">
          <a:hlinkClick xmlns:r="http://schemas.openxmlformats.org/officeDocument/2006/relationships" r:id="rId14"/>
          <a:extLst>
            <a:ext uri="{FF2B5EF4-FFF2-40B4-BE49-F238E27FC236}">
              <a16:creationId xmlns:a16="http://schemas.microsoft.com/office/drawing/2014/main" id="{00000000-0008-0000-0C00-0000263C0000}"/>
            </a:ext>
          </a:extLst>
        </xdr:cNvPr>
        <xdr:cNvSpPr txBox="1">
          <a:spLocks noChangeArrowheads="1"/>
        </xdr:cNvSpPr>
      </xdr:nvSpPr>
      <xdr:spPr bwMode="auto">
        <a:xfrm>
          <a:off x="127000" y="2755900"/>
          <a:ext cx="933450" cy="704850"/>
        </a:xfrm>
        <a:prstGeom prst="rect">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cap="rnd">
              <a:solidFill>
                <a:srgbClr xmlns:mc="http://schemas.openxmlformats.org/markup-compatibility/2006" val="000000" mc:Ignorable="a14" a14:legacySpreadsheetColorIndex="64"/>
              </a:solidFill>
              <a:prstDash val="sysDot"/>
              <a:miter lim="800000"/>
              <a:headEnd/>
              <a:tailEnd/>
            </a14:hiddenLine>
          </a:ext>
          <a:ext uri="{AF507438-7753-43E0-B8FC-AC1667EBCBE1}">
            <a14:hiddenEffects xmlns:a14="http://schemas.microsoft.com/office/drawing/2010/main">
              <a:effectLst>
                <a:outerShdw dist="35921" dir="2700000" algn="ctr" rotWithShape="0">
                  <a:srgbClr xmlns:mc="http://schemas.openxmlformats.org/markup-compatibility/2006" val="5E5E5E" mc:Ignorable="a14" a14:legacySpreadsheetColorIndex="54"/>
                </a:outerShdw>
              </a:effectLst>
            </a14:hiddenEffects>
          </a:ext>
          <a:ext uri="{53640926-AAD7-44D8-BBD7-CCE9431645EC}">
            <a14:shadowObscured xmlns:a14="http://schemas.microsoft.com/office/drawing/2010/main" val="1"/>
          </a:ext>
        </a:extLst>
      </xdr:spPr>
      <xdr:txBody>
        <a:bodyPr vertOverflow="clip" wrap="square" lIns="36576" tIns="27432" rIns="0" bIns="27432" anchor="ctr" upright="1"/>
        <a:lstStyle/>
        <a:p>
          <a:pPr algn="l" rtl="0">
            <a:lnSpc>
              <a:spcPts val="1000"/>
            </a:lnSpc>
            <a:defRPr sz="1000"/>
          </a:pPr>
          <a:r>
            <a:rPr lang="de-CH" sz="1000" b="0" i="0" u="none" strike="noStrike" baseline="0">
              <a:solidFill>
                <a:srgbClr val="FFFFFF"/>
              </a:solidFill>
              <a:latin typeface="Arial"/>
              <a:cs typeface="Arial"/>
            </a:rPr>
            <a:t>Finanzierungs-</a:t>
          </a:r>
        </a:p>
        <a:p>
          <a:pPr algn="l" rtl="0">
            <a:lnSpc>
              <a:spcPts val="1000"/>
            </a:lnSpc>
            <a:defRPr sz="1000"/>
          </a:pPr>
          <a:r>
            <a:rPr lang="de-CH" sz="1000" b="0" i="0" u="none" strike="noStrike" baseline="0">
              <a:solidFill>
                <a:srgbClr val="FFFFFF"/>
              </a:solidFill>
              <a:latin typeface="Arial"/>
              <a:cs typeface="Arial"/>
            </a:rPr>
            <a:t>planung</a:t>
          </a:r>
        </a:p>
      </xdr:txBody>
    </xdr:sp>
    <xdr:clientData/>
  </xdr:twoCellAnchor>
  <xdr:twoCellAnchor>
    <xdr:from>
      <xdr:col>0</xdr:col>
      <xdr:colOff>323850</xdr:colOff>
      <xdr:row>9</xdr:row>
      <xdr:rowOff>38100</xdr:rowOff>
    </xdr:from>
    <xdr:to>
      <xdr:col>1</xdr:col>
      <xdr:colOff>28575</xdr:colOff>
      <xdr:row>10</xdr:row>
      <xdr:rowOff>104775</xdr:rowOff>
    </xdr:to>
    <xdr:sp macro="" textlink="">
      <xdr:nvSpPr>
        <xdr:cNvPr id="15431" name="AutoShape 39">
          <a:extLst>
            <a:ext uri="{FF2B5EF4-FFF2-40B4-BE49-F238E27FC236}">
              <a16:creationId xmlns:a16="http://schemas.microsoft.com/office/drawing/2014/main" id="{00000000-0008-0000-0C00-0000473C0000}"/>
            </a:ext>
          </a:extLst>
        </xdr:cNvPr>
        <xdr:cNvSpPr>
          <a:spLocks noChangeArrowheads="1"/>
        </xdr:cNvSpPr>
      </xdr:nvSpPr>
      <xdr:spPr bwMode="auto">
        <a:xfrm>
          <a:off x="323850" y="16287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323850</xdr:colOff>
      <xdr:row>15</xdr:row>
      <xdr:rowOff>19050</xdr:rowOff>
    </xdr:from>
    <xdr:to>
      <xdr:col>1</xdr:col>
      <xdr:colOff>28575</xdr:colOff>
      <xdr:row>16</xdr:row>
      <xdr:rowOff>85725</xdr:rowOff>
    </xdr:to>
    <xdr:sp macro="" textlink="">
      <xdr:nvSpPr>
        <xdr:cNvPr id="15432" name="AutoShape 40">
          <a:extLst>
            <a:ext uri="{FF2B5EF4-FFF2-40B4-BE49-F238E27FC236}">
              <a16:creationId xmlns:a16="http://schemas.microsoft.com/office/drawing/2014/main" id="{00000000-0008-0000-0C00-0000483C0000}"/>
            </a:ext>
          </a:extLst>
        </xdr:cNvPr>
        <xdr:cNvSpPr>
          <a:spLocks noChangeArrowheads="1"/>
        </xdr:cNvSpPr>
      </xdr:nvSpPr>
      <xdr:spPr bwMode="auto">
        <a:xfrm>
          <a:off x="323850" y="2581275"/>
          <a:ext cx="581025" cy="228600"/>
        </a:xfrm>
        <a:prstGeom prst="downArrow">
          <a:avLst>
            <a:gd name="adj1" fmla="val 51722"/>
            <a:gd name="adj2" fmla="val 72727"/>
          </a:avLst>
        </a:prstGeom>
        <a:solidFill>
          <a:srgbClr xmlns:mc="http://schemas.openxmlformats.org/markup-compatibility/2006" xmlns:a14="http://schemas.microsoft.com/office/drawing/2010/main" val="0064AA" mc:Ignorable="a14" a14:legacySpreadsheetColorIndex="18"/>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estv.admin.ch/d/dbst/dokumentation/merkblatt/a95-betr-2001.pdf" TargetMode="External"/><Relationship Id="rId7" Type="http://schemas.openxmlformats.org/officeDocument/2006/relationships/comments" Target="../comments2.xml"/><Relationship Id="rId2" Type="http://schemas.openxmlformats.org/officeDocument/2006/relationships/hyperlink" Target="http://www.estv.admin.ch/d/dbst/dokumentation/merkblatt/a95-betr-2001.pdf" TargetMode="External"/><Relationship Id="rId1" Type="http://schemas.openxmlformats.org/officeDocument/2006/relationships/hyperlink" Target="http://www.estv.admin.ch/d/dbst/dokumentation/merkblatt/a95-betr-2001.pdf"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B1:X48"/>
  <sheetViews>
    <sheetView showGridLines="0" showRowColHeaders="0" zoomScale="130" workbookViewId="0">
      <selection activeCell="D23" sqref="D23"/>
    </sheetView>
  </sheetViews>
  <sheetFormatPr baseColWidth="10" defaultColWidth="11.5" defaultRowHeight="14.25"/>
  <cols>
    <col min="1" max="1" width="2" style="70" customWidth="1"/>
    <col min="2" max="2" width="8.5" style="70" customWidth="1"/>
    <col min="3" max="3" width="4.75" style="70" customWidth="1"/>
    <col min="4" max="4" width="24.375" style="70" customWidth="1"/>
    <col min="5" max="5" width="2.75" style="70" customWidth="1"/>
    <col min="6" max="6" width="4" style="70" customWidth="1"/>
    <col min="7" max="7" width="10.125" style="70" customWidth="1"/>
    <col min="8" max="8" width="38.125" style="70" customWidth="1"/>
    <col min="9" max="9" width="11.5" style="70" customWidth="1"/>
    <col min="10" max="24" width="11.5" style="70" hidden="1" customWidth="1"/>
    <col min="25" max="16384" width="11.5" style="70"/>
  </cols>
  <sheetData>
    <row r="1" spans="2:24" s="69" customFormat="1" ht="27">
      <c r="B1" s="478" t="s">
        <v>185</v>
      </c>
      <c r="C1" s="478"/>
      <c r="D1" s="478"/>
      <c r="E1" s="478"/>
      <c r="F1" s="478"/>
      <c r="G1" s="478"/>
      <c r="H1" s="478"/>
    </row>
    <row r="3" spans="2:24">
      <c r="B3" s="486" t="s">
        <v>186</v>
      </c>
      <c r="C3" s="486"/>
      <c r="D3" s="486"/>
      <c r="E3" s="486"/>
      <c r="F3" s="486"/>
      <c r="G3" s="486"/>
      <c r="H3" s="486"/>
    </row>
    <row r="4" spans="2:24" ht="5.0999999999999996" customHeight="1">
      <c r="B4" s="71"/>
      <c r="C4" s="71"/>
      <c r="D4" s="71"/>
      <c r="E4" s="71"/>
      <c r="F4" s="71"/>
      <c r="G4" s="71"/>
      <c r="H4" s="71"/>
    </row>
    <row r="5" spans="2:24" ht="24.95" customHeight="1">
      <c r="B5" s="487" t="s">
        <v>179</v>
      </c>
      <c r="C5" s="487"/>
      <c r="D5" s="487"/>
      <c r="E5" s="487"/>
      <c r="F5" s="487"/>
      <c r="G5" s="487"/>
      <c r="H5" s="487"/>
    </row>
    <row r="6" spans="2:24" s="72" customFormat="1" ht="5.0999999999999996" customHeight="1">
      <c r="B6" s="73"/>
      <c r="C6" s="73"/>
      <c r="D6" s="73"/>
      <c r="E6" s="73"/>
      <c r="F6" s="73"/>
      <c r="G6" s="73"/>
      <c r="H6" s="73"/>
    </row>
    <row r="7" spans="2:24" ht="24.95" customHeight="1">
      <c r="B7" s="487" t="s">
        <v>177</v>
      </c>
      <c r="C7" s="487"/>
      <c r="D7" s="487"/>
      <c r="E7" s="487"/>
      <c r="F7" s="487"/>
      <c r="G7" s="487"/>
      <c r="H7" s="487"/>
    </row>
    <row r="8" spans="2:24" s="72" customFormat="1" ht="5.0999999999999996" customHeight="1">
      <c r="B8" s="73"/>
      <c r="C8" s="73"/>
      <c r="D8" s="73"/>
      <c r="E8" s="73"/>
      <c r="F8" s="73"/>
      <c r="G8" s="73"/>
      <c r="H8" s="73"/>
      <c r="J8" s="464"/>
      <c r="K8" s="465"/>
      <c r="L8" s="465"/>
      <c r="M8" s="87">
        <v>1</v>
      </c>
      <c r="N8" s="87">
        <v>2</v>
      </c>
      <c r="O8" s="87">
        <v>3</v>
      </c>
      <c r="P8" s="87">
        <v>4</v>
      </c>
      <c r="Q8" s="87">
        <v>5</v>
      </c>
      <c r="R8" s="87">
        <v>6</v>
      </c>
      <c r="S8" s="87">
        <v>7</v>
      </c>
      <c r="T8" s="87">
        <v>8</v>
      </c>
      <c r="U8" s="87">
        <v>9</v>
      </c>
      <c r="V8" s="87">
        <v>10</v>
      </c>
      <c r="W8" s="87">
        <v>11</v>
      </c>
      <c r="X8" s="466">
        <v>12</v>
      </c>
    </row>
    <row r="9" spans="2:24" s="72" customFormat="1" ht="24.95" customHeight="1">
      <c r="B9" s="487" t="s">
        <v>178</v>
      </c>
      <c r="C9" s="487"/>
      <c r="D9" s="487"/>
      <c r="E9" s="487"/>
      <c r="F9" s="487"/>
      <c r="G9" s="487"/>
      <c r="H9" s="487"/>
      <c r="J9" s="467"/>
      <c r="K9" s="71"/>
      <c r="L9" s="71"/>
      <c r="M9" s="468" t="s">
        <v>192</v>
      </c>
      <c r="N9" s="468" t="s">
        <v>193</v>
      </c>
      <c r="O9" s="468" t="s">
        <v>194</v>
      </c>
      <c r="P9" s="468" t="s">
        <v>195</v>
      </c>
      <c r="Q9" s="468" t="s">
        <v>196</v>
      </c>
      <c r="R9" s="468" t="s">
        <v>197</v>
      </c>
      <c r="S9" s="468" t="s">
        <v>198</v>
      </c>
      <c r="T9" s="468" t="s">
        <v>199</v>
      </c>
      <c r="U9" s="468" t="s">
        <v>200</v>
      </c>
      <c r="V9" s="468" t="s">
        <v>201</v>
      </c>
      <c r="W9" s="468" t="s">
        <v>202</v>
      </c>
      <c r="X9" s="469" t="s">
        <v>203</v>
      </c>
    </row>
    <row r="10" spans="2:24" s="72" customFormat="1" ht="5.0999999999999996" customHeight="1">
      <c r="B10" s="71"/>
      <c r="C10" s="71"/>
      <c r="D10" s="71"/>
      <c r="E10" s="71"/>
      <c r="F10" s="71"/>
      <c r="G10" s="71"/>
      <c r="H10" s="71"/>
      <c r="J10" s="467"/>
      <c r="K10" s="71"/>
      <c r="L10" s="71"/>
      <c r="M10" s="71">
        <v>1</v>
      </c>
      <c r="N10" s="71">
        <v>2</v>
      </c>
      <c r="O10" s="71">
        <v>3</v>
      </c>
      <c r="P10" s="71">
        <v>4</v>
      </c>
      <c r="Q10" s="71">
        <v>5</v>
      </c>
      <c r="R10" s="71">
        <v>6</v>
      </c>
      <c r="S10" s="71">
        <v>7</v>
      </c>
      <c r="T10" s="71">
        <v>8</v>
      </c>
      <c r="U10" s="71">
        <v>9</v>
      </c>
      <c r="V10" s="71">
        <v>10</v>
      </c>
      <c r="W10" s="71">
        <v>11</v>
      </c>
      <c r="X10" s="470">
        <v>12</v>
      </c>
    </row>
    <row r="11" spans="2:24">
      <c r="J11" s="471"/>
      <c r="K11" s="77"/>
      <c r="L11" s="77"/>
      <c r="M11" s="77">
        <v>31</v>
      </c>
      <c r="N11" s="77">
        <v>28</v>
      </c>
      <c r="O11" s="77">
        <v>31</v>
      </c>
      <c r="P11" s="77">
        <v>30</v>
      </c>
      <c r="Q11" s="77">
        <v>31</v>
      </c>
      <c r="R11" s="77">
        <v>30</v>
      </c>
      <c r="S11" s="77">
        <v>31</v>
      </c>
      <c r="T11" s="77">
        <v>31</v>
      </c>
      <c r="U11" s="77">
        <v>30</v>
      </c>
      <c r="V11" s="77">
        <v>31</v>
      </c>
      <c r="W11" s="77">
        <v>30</v>
      </c>
      <c r="X11" s="472">
        <v>31</v>
      </c>
    </row>
    <row r="12" spans="2:24" ht="15" hidden="1" thickBot="1">
      <c r="J12" s="471"/>
      <c r="K12" s="77"/>
      <c r="L12" s="77"/>
      <c r="M12" s="77"/>
      <c r="N12" s="77"/>
      <c r="O12" s="77"/>
      <c r="P12" s="77"/>
      <c r="Q12" s="77"/>
      <c r="R12" s="77"/>
      <c r="S12" s="77"/>
      <c r="T12" s="77"/>
      <c r="U12" s="77"/>
      <c r="V12" s="77"/>
      <c r="W12" s="77"/>
      <c r="X12" s="472"/>
    </row>
    <row r="13" spans="2:24">
      <c r="B13" s="491" t="s">
        <v>31</v>
      </c>
      <c r="C13" s="491"/>
      <c r="D13" s="491"/>
      <c r="E13" s="492" t="s">
        <v>205</v>
      </c>
      <c r="F13" s="493"/>
      <c r="G13" s="493"/>
      <c r="H13" s="494"/>
      <c r="J13" s="471">
        <v>1</v>
      </c>
      <c r="K13" s="77">
        <f>IF($E$14="",J13,IF($M$13=1,$E$14-1+J13,CONCATENATE($E$14-1+J13,"/",$E$14+J13)))</f>
        <v>2017</v>
      </c>
      <c r="L13" s="77" t="str">
        <f>CONCATENATE(HLOOKUP($X$13,$M$10:$X$11,2,FALSE),".",$X$13,".",IF($M$13=1,$E$14+J13-1,$E$14+J13))</f>
        <v>31.12.2017</v>
      </c>
      <c r="M13" s="77">
        <f>IF($E$15="",M8,HLOOKUP(E15,$M$9:$X$10,2,FALSE))</f>
        <v>1</v>
      </c>
      <c r="N13" s="77">
        <f>IF(M13+1&gt;12,M13+1-12,M13+1)</f>
        <v>2</v>
      </c>
      <c r="O13" s="77">
        <f t="shared" ref="O13:X13" si="0">IF(N13+1&gt;12,N13+1-12,N13+1)</f>
        <v>3</v>
      </c>
      <c r="P13" s="77">
        <f t="shared" si="0"/>
        <v>4</v>
      </c>
      <c r="Q13" s="77">
        <f t="shared" si="0"/>
        <v>5</v>
      </c>
      <c r="R13" s="77">
        <f t="shared" si="0"/>
        <v>6</v>
      </c>
      <c r="S13" s="77">
        <f t="shared" si="0"/>
        <v>7</v>
      </c>
      <c r="T13" s="77">
        <f t="shared" si="0"/>
        <v>8</v>
      </c>
      <c r="U13" s="77">
        <f t="shared" si="0"/>
        <v>9</v>
      </c>
      <c r="V13" s="77">
        <f t="shared" si="0"/>
        <v>10</v>
      </c>
      <c r="W13" s="77">
        <f t="shared" si="0"/>
        <v>11</v>
      </c>
      <c r="X13" s="472">
        <f t="shared" si="0"/>
        <v>12</v>
      </c>
    </row>
    <row r="14" spans="2:24">
      <c r="B14" s="495" t="s">
        <v>32</v>
      </c>
      <c r="C14" s="495"/>
      <c r="D14" s="495"/>
      <c r="E14" s="496">
        <v>2017</v>
      </c>
      <c r="F14" s="497"/>
      <c r="G14" s="497"/>
      <c r="H14" s="497"/>
      <c r="J14" s="471">
        <v>2</v>
      </c>
      <c r="K14" s="77">
        <f>IF($E$14="",J14,IF($M$13=1,$E$14-1+J14,CONCATENATE($E$14-1+J14,"/",$E$14+J14)))</f>
        <v>2018</v>
      </c>
      <c r="L14" s="77" t="str">
        <f>CONCATENATE(HLOOKUP($X$13,$M$10:$X$11,2,FALSE),".",$X$13,".",IF($M$13=1,$E$14+J14-1,$E$14+J14))</f>
        <v>31.12.2018</v>
      </c>
      <c r="M14" s="77" t="str">
        <f>HLOOKUP(M13,$M$8:$X$9,2,FALSE)</f>
        <v>Januar</v>
      </c>
      <c r="N14" s="77" t="str">
        <f t="shared" ref="N14:X14" si="1">HLOOKUP(N13,$M$8:$X$9,2,FALSE)</f>
        <v>Februar</v>
      </c>
      <c r="O14" s="77" t="str">
        <f t="shared" si="1"/>
        <v>März</v>
      </c>
      <c r="P14" s="77" t="str">
        <f t="shared" si="1"/>
        <v>April</v>
      </c>
      <c r="Q14" s="77" t="str">
        <f t="shared" si="1"/>
        <v>Mai</v>
      </c>
      <c r="R14" s="77" t="str">
        <f t="shared" si="1"/>
        <v>Juni</v>
      </c>
      <c r="S14" s="77" t="str">
        <f t="shared" si="1"/>
        <v xml:space="preserve">Juli </v>
      </c>
      <c r="T14" s="77" t="str">
        <f t="shared" si="1"/>
        <v>August</v>
      </c>
      <c r="U14" s="77" t="str">
        <f t="shared" si="1"/>
        <v>September</v>
      </c>
      <c r="V14" s="77" t="str">
        <f t="shared" si="1"/>
        <v>Oktober</v>
      </c>
      <c r="W14" s="77" t="str">
        <f t="shared" si="1"/>
        <v>November</v>
      </c>
      <c r="X14" s="472" t="str">
        <f t="shared" si="1"/>
        <v>Dezember</v>
      </c>
    </row>
    <row r="15" spans="2:24" ht="15.75" customHeight="1">
      <c r="B15" s="495" t="s">
        <v>191</v>
      </c>
      <c r="C15" s="495"/>
      <c r="D15" s="495"/>
      <c r="E15" s="498" t="s">
        <v>192</v>
      </c>
      <c r="F15" s="498"/>
      <c r="G15" s="498"/>
      <c r="H15" s="498"/>
      <c r="J15" s="471">
        <v>3</v>
      </c>
      <c r="K15" s="77">
        <f>IF($E$14="",J15,IF($M$13=1,$E$14-1+J15,CONCATENATE($E$14-1+J15,"/",$E$14+J15)))</f>
        <v>2019</v>
      </c>
      <c r="L15" s="77" t="str">
        <f>CONCATENATE(HLOOKUP($X$13,$M$10:$X$11,2,FALSE),".",$X$13,".",IF($M$13=1,$E$14+J15-1,$E$14+J15))</f>
        <v>31.12.2019</v>
      </c>
      <c r="M15" s="77"/>
      <c r="N15" s="77"/>
      <c r="O15" s="77"/>
      <c r="P15" s="77"/>
      <c r="Q15" s="77"/>
      <c r="R15" s="77"/>
      <c r="S15" s="77"/>
      <c r="T15" s="77"/>
      <c r="U15" s="77"/>
      <c r="V15" s="77"/>
      <c r="W15" s="77"/>
      <c r="X15" s="472"/>
    </row>
    <row r="16" spans="2:24">
      <c r="B16" s="74" t="s">
        <v>176</v>
      </c>
      <c r="C16" s="74"/>
      <c r="D16" s="74"/>
      <c r="E16" s="488" t="s">
        <v>204</v>
      </c>
      <c r="F16" s="489"/>
      <c r="G16" s="489"/>
      <c r="H16" s="490"/>
      <c r="J16" s="471">
        <v>4</v>
      </c>
      <c r="K16" s="77">
        <f>IF($E$14="",J16,IF($M$13=1,$E$14-1+J16,CONCATENATE($E$14-1+J16,"/",$E$14+J16)))</f>
        <v>2020</v>
      </c>
      <c r="L16" s="77" t="str">
        <f>CONCATENATE(HLOOKUP($X$13,$M$10:$X$11,2,FALSE),".",$X$13,".",IF($M$13=1,$E$14+J16-1,$E$14+J16))</f>
        <v>31.12.2020</v>
      </c>
      <c r="M16" s="77"/>
      <c r="N16" s="77"/>
      <c r="O16" s="77"/>
      <c r="P16" s="77"/>
      <c r="Q16" s="77"/>
      <c r="R16" s="77"/>
      <c r="S16" s="77"/>
      <c r="T16" s="77"/>
      <c r="U16" s="77"/>
      <c r="V16" s="77"/>
      <c r="W16" s="77"/>
      <c r="X16" s="472"/>
    </row>
    <row r="17" spans="2:24">
      <c r="J17" s="473">
        <v>5</v>
      </c>
      <c r="K17" s="84">
        <f>IF($E$14="",J17,IF($M$13=1,$E$14-1+J17,CONCATENATE($E$14-1+J17,"/",$E$14+J17)))</f>
        <v>2021</v>
      </c>
      <c r="L17" s="84" t="str">
        <f>CONCATENATE(HLOOKUP($X$13,$M$10:$X$11,2,FALSE),".",$X$13,".",IF($M$13=1,$E$14+J17-1,$E$14+J17))</f>
        <v>31.12.2021</v>
      </c>
      <c r="M17" s="84"/>
      <c r="N17" s="84"/>
      <c r="O17" s="84"/>
      <c r="P17" s="84"/>
      <c r="Q17" s="84"/>
      <c r="R17" s="84"/>
      <c r="S17" s="84"/>
      <c r="T17" s="84"/>
      <c r="U17" s="84"/>
      <c r="V17" s="84"/>
      <c r="W17" s="84"/>
      <c r="X17" s="474"/>
    </row>
    <row r="18" spans="2:24" hidden="1"/>
    <row r="19" spans="2:24" hidden="1"/>
    <row r="20" spans="2:24" hidden="1"/>
    <row r="21" spans="2:24" s="75" customFormat="1" ht="15">
      <c r="B21" s="76" t="s">
        <v>155</v>
      </c>
      <c r="C21" s="76"/>
      <c r="D21" s="76"/>
      <c r="E21" s="76"/>
      <c r="F21" s="76" t="s">
        <v>158</v>
      </c>
      <c r="G21" s="76"/>
      <c r="H21" s="76"/>
    </row>
    <row r="22" spans="2:24" ht="17.25" customHeight="1">
      <c r="B22" s="479" t="s">
        <v>183</v>
      </c>
      <c r="C22" s="77"/>
      <c r="D22" s="78"/>
      <c r="E22" s="77"/>
      <c r="F22" s="77"/>
      <c r="G22" s="77"/>
      <c r="H22" s="77"/>
    </row>
    <row r="23" spans="2:24" ht="50.1" customHeight="1">
      <c r="B23" s="480"/>
      <c r="C23" s="79"/>
      <c r="D23" s="80" t="s">
        <v>163</v>
      </c>
      <c r="E23" s="77"/>
      <c r="F23" s="477" t="s">
        <v>157</v>
      </c>
      <c r="G23" s="477"/>
      <c r="H23" s="477"/>
    </row>
    <row r="24" spans="2:24" ht="9.9499999999999993" customHeight="1">
      <c r="B24" s="480"/>
      <c r="C24" s="79"/>
      <c r="D24" s="78"/>
      <c r="E24" s="77"/>
      <c r="F24" s="77"/>
      <c r="G24" s="77"/>
      <c r="H24" s="77"/>
    </row>
    <row r="25" spans="2:24" ht="50.1" customHeight="1">
      <c r="B25" s="480"/>
      <c r="C25" s="79"/>
      <c r="D25" s="80" t="s">
        <v>164</v>
      </c>
      <c r="E25" s="77"/>
      <c r="F25" s="477" t="s">
        <v>159</v>
      </c>
      <c r="G25" s="477"/>
      <c r="H25" s="477"/>
    </row>
    <row r="26" spans="2:24" ht="9.9499999999999993" customHeight="1">
      <c r="B26" s="480"/>
      <c r="C26" s="79"/>
      <c r="D26" s="81"/>
      <c r="E26" s="77"/>
      <c r="F26" s="77"/>
      <c r="G26" s="77"/>
      <c r="H26" s="77"/>
    </row>
    <row r="27" spans="2:24" ht="50.1" customHeight="1">
      <c r="B27" s="480"/>
      <c r="C27" s="79"/>
      <c r="D27" s="80" t="s">
        <v>88</v>
      </c>
      <c r="E27" s="77"/>
      <c r="F27" s="477" t="s">
        <v>187</v>
      </c>
      <c r="G27" s="477"/>
      <c r="H27" s="477"/>
    </row>
    <row r="28" spans="2:24" ht="9.9499999999999993" customHeight="1">
      <c r="B28" s="481"/>
      <c r="C28" s="82"/>
      <c r="D28" s="83"/>
      <c r="E28" s="84"/>
      <c r="F28" s="84"/>
      <c r="G28" s="84"/>
      <c r="H28" s="84"/>
    </row>
    <row r="29" spans="2:24" ht="9.9499999999999993" customHeight="1">
      <c r="B29" s="482" t="s">
        <v>184</v>
      </c>
      <c r="C29" s="85"/>
      <c r="D29" s="86"/>
      <c r="E29" s="87"/>
      <c r="F29" s="87"/>
      <c r="G29" s="87"/>
      <c r="H29" s="87"/>
    </row>
    <row r="30" spans="2:24" ht="50.1" customHeight="1">
      <c r="B30" s="483"/>
      <c r="C30" s="79"/>
      <c r="D30" s="88" t="s">
        <v>72</v>
      </c>
      <c r="E30" s="77"/>
      <c r="F30" s="477" t="s">
        <v>171</v>
      </c>
      <c r="G30" s="477"/>
      <c r="H30" s="477"/>
    </row>
    <row r="31" spans="2:24" ht="9.9499999999999993" customHeight="1">
      <c r="B31" s="483"/>
      <c r="C31" s="79"/>
      <c r="D31" s="78"/>
      <c r="E31" s="77"/>
      <c r="F31" s="77"/>
      <c r="G31" s="77"/>
      <c r="H31" s="77"/>
    </row>
    <row r="32" spans="2:24" ht="50.1" customHeight="1">
      <c r="B32" s="483"/>
      <c r="C32" s="79"/>
      <c r="D32" s="88" t="s">
        <v>58</v>
      </c>
      <c r="E32" s="77"/>
      <c r="F32" s="477" t="s">
        <v>160</v>
      </c>
      <c r="G32" s="477"/>
      <c r="H32" s="477"/>
    </row>
    <row r="33" spans="2:8" ht="9.9499999999999993" customHeight="1">
      <c r="B33" s="483"/>
      <c r="C33" s="79"/>
      <c r="D33" s="78"/>
      <c r="E33" s="77"/>
      <c r="F33" s="77"/>
      <c r="G33" s="77"/>
      <c r="H33" s="77"/>
    </row>
    <row r="34" spans="2:8" ht="50.1" customHeight="1">
      <c r="B34" s="483"/>
      <c r="C34" s="79"/>
      <c r="D34" s="89" t="s">
        <v>156</v>
      </c>
      <c r="E34" s="77"/>
      <c r="F34" s="477" t="s">
        <v>161</v>
      </c>
      <c r="G34" s="477"/>
      <c r="H34" s="477"/>
    </row>
    <row r="35" spans="2:8" s="72" customFormat="1" ht="9.9499999999999993" customHeight="1">
      <c r="B35" s="483"/>
      <c r="C35" s="90"/>
      <c r="D35" s="91"/>
      <c r="E35" s="71"/>
      <c r="F35" s="71"/>
      <c r="G35" s="71"/>
      <c r="H35" s="71"/>
    </row>
    <row r="36" spans="2:8" ht="50.1" customHeight="1">
      <c r="B36" s="483"/>
      <c r="C36" s="79"/>
      <c r="D36" s="89" t="s">
        <v>113</v>
      </c>
      <c r="E36" s="77"/>
      <c r="F36" s="476" t="s">
        <v>180</v>
      </c>
      <c r="G36" s="477"/>
      <c r="H36" s="477"/>
    </row>
    <row r="37" spans="2:8" ht="9.9499999999999993" customHeight="1">
      <c r="B37" s="484"/>
      <c r="C37" s="79"/>
      <c r="D37" s="77"/>
      <c r="E37" s="77"/>
      <c r="F37" s="77"/>
      <c r="G37" s="77"/>
      <c r="H37" s="77"/>
    </row>
    <row r="38" spans="2:8" ht="9.9499999999999993" customHeight="1">
      <c r="B38" s="485" t="s">
        <v>183</v>
      </c>
      <c r="C38" s="85"/>
      <c r="D38" s="87"/>
      <c r="E38" s="87"/>
      <c r="F38" s="87"/>
      <c r="G38" s="87"/>
      <c r="H38" s="87"/>
    </row>
    <row r="39" spans="2:8" ht="21" customHeight="1">
      <c r="B39" s="483"/>
      <c r="C39" s="79"/>
      <c r="D39" s="92" t="str">
        <f>CONCATENATE("Liquiditätsplanung ",IF($E$14="","1",$K$13))</f>
        <v>Liquiditätsplanung 2017</v>
      </c>
      <c r="E39" s="77"/>
      <c r="F39" s="477" t="s">
        <v>162</v>
      </c>
      <c r="G39" s="477"/>
      <c r="H39" s="477"/>
    </row>
    <row r="40" spans="2:8" ht="9.9499999999999993" customHeight="1">
      <c r="B40" s="483"/>
      <c r="C40" s="79"/>
      <c r="D40" s="77"/>
      <c r="E40" s="77"/>
      <c r="F40" s="477"/>
      <c r="G40" s="477"/>
      <c r="H40" s="477"/>
    </row>
    <row r="41" spans="2:8" ht="21" customHeight="1">
      <c r="B41" s="483"/>
      <c r="C41" s="79"/>
      <c r="D41" s="92" t="str">
        <f>CONCATENATE("Liquiditätsplanung ",IF($E$14="","2",$K$14))</f>
        <v>Liquiditätsplanung 2018</v>
      </c>
      <c r="E41" s="77"/>
      <c r="F41" s="477"/>
      <c r="G41" s="477"/>
      <c r="H41" s="477"/>
    </row>
    <row r="42" spans="2:8" ht="9.9499999999999993" customHeight="1">
      <c r="B42" s="483"/>
      <c r="C42" s="79"/>
      <c r="D42" s="77"/>
      <c r="E42" s="77"/>
      <c r="F42" s="477"/>
      <c r="G42" s="477"/>
      <c r="H42" s="477"/>
    </row>
    <row r="43" spans="2:8" ht="21" customHeight="1">
      <c r="B43" s="483"/>
      <c r="C43" s="79"/>
      <c r="D43" s="92" t="str">
        <f>CONCATENATE("Liquiditätsplanung ",IF($E$14="","3",$K$15))</f>
        <v>Liquiditätsplanung 2019</v>
      </c>
      <c r="E43" s="77"/>
      <c r="F43" s="477"/>
      <c r="G43" s="477"/>
      <c r="H43" s="477"/>
    </row>
    <row r="44" spans="2:8" ht="9.9499999999999993" customHeight="1">
      <c r="B44" s="483"/>
      <c r="C44" s="79"/>
      <c r="D44" s="77"/>
      <c r="E44" s="77"/>
      <c r="F44" s="477"/>
      <c r="G44" s="477"/>
      <c r="H44" s="477"/>
    </row>
    <row r="45" spans="2:8" ht="21" customHeight="1">
      <c r="B45" s="483"/>
      <c r="C45" s="79"/>
      <c r="D45" s="92" t="str">
        <f>CONCATENATE("Liquiditätsplanung ",IF($E$14="","4",$K$16))</f>
        <v>Liquiditätsplanung 2020</v>
      </c>
      <c r="E45" s="77"/>
      <c r="F45" s="477"/>
      <c r="G45" s="477"/>
      <c r="H45" s="477"/>
    </row>
    <row r="46" spans="2:8" ht="9.9499999999999993" customHeight="1">
      <c r="B46" s="483"/>
      <c r="C46" s="79"/>
      <c r="D46" s="77"/>
      <c r="E46" s="77"/>
      <c r="F46" s="477"/>
      <c r="G46" s="477"/>
      <c r="H46" s="477"/>
    </row>
    <row r="47" spans="2:8" ht="21" customHeight="1">
      <c r="B47" s="483"/>
      <c r="C47" s="79"/>
      <c r="D47" s="92" t="str">
        <f>CONCATENATE("Liquiditätsplanung ",IF($E$14="","5",$K$17))</f>
        <v>Liquiditätsplanung 2021</v>
      </c>
      <c r="E47" s="77"/>
      <c r="F47" s="477"/>
      <c r="G47" s="477"/>
      <c r="H47" s="477"/>
    </row>
    <row r="48" spans="2:8" ht="9.9499999999999993" customHeight="1">
      <c r="B48" s="483"/>
      <c r="C48" s="79"/>
      <c r="D48" s="77"/>
      <c r="E48" s="77"/>
      <c r="F48" s="77"/>
      <c r="G48" s="77"/>
      <c r="H48" s="77"/>
    </row>
  </sheetData>
  <sheetProtection password="C857" sheet="1" objects="1" scenarios="1"/>
  <mergeCells count="23">
    <mergeCell ref="B15:D15"/>
    <mergeCell ref="B1:H1"/>
    <mergeCell ref="B22:B28"/>
    <mergeCell ref="B29:B37"/>
    <mergeCell ref="B38:B48"/>
    <mergeCell ref="F23:H23"/>
    <mergeCell ref="B3:H3"/>
    <mergeCell ref="B5:H5"/>
    <mergeCell ref="B7:H7"/>
    <mergeCell ref="B9:H9"/>
    <mergeCell ref="F25:H25"/>
    <mergeCell ref="E16:H16"/>
    <mergeCell ref="B13:D13"/>
    <mergeCell ref="E13:H13"/>
    <mergeCell ref="B14:D14"/>
    <mergeCell ref="E14:H14"/>
    <mergeCell ref="E15:H15"/>
    <mergeCell ref="F36:H36"/>
    <mergeCell ref="F39:H47"/>
    <mergeCell ref="F27:H27"/>
    <mergeCell ref="F30:H30"/>
    <mergeCell ref="F32:H32"/>
    <mergeCell ref="F34:H34"/>
  </mergeCells>
  <phoneticPr fontId="0" type="noConversion"/>
  <dataValidations count="3">
    <dataValidation type="list" operator="equal" allowBlank="1" showInputMessage="1" showErrorMessage="1" prompt="Bitte wählen Sie aus den Möglichkeiten im Dropdown-Menü." sqref="E16:H16">
      <formula1>"in CHF,in 1'000 CHF,in Mio. CHF"</formula1>
    </dataValidation>
    <dataValidation type="whole" allowBlank="1" showInputMessage="1" showErrorMessage="1" errorTitle="Ungültige Eingabe" error="Bitte geben Sie eine Mögliche Jahreszahl zwischen 1900 und 2200 ein." sqref="E14:H14">
      <formula1>1900</formula1>
      <formula2>2200</formula2>
    </dataValidation>
    <dataValidation type="list" operator="equal" allowBlank="1" showInputMessage="1" showErrorMessage="1" sqref="E15:H15">
      <formula1>$M$9:$X$9</formula1>
    </dataValidation>
  </dataValidations>
  <hyperlinks>
    <hyperlink ref="D25" location="'Input Geschäftsgang'!A1" display="Geschäftsentwicklung &amp; Investitionsplanung"/>
    <hyperlink ref="D27" location="'Input Finanzierung'!A1" display="Finanzierungsplanung"/>
    <hyperlink ref="D30" location="'Output Planbilanz'!A1" display="Planbilanz"/>
    <hyperlink ref="D32" location="'Output Planerfolgsrechnung'!A1" display="Planerfolgsrechnung"/>
    <hyperlink ref="D34" location="'Output Mittelflussrechnung'!A1" display="Plan-Mittelflussrechnung / Cashflow-Statement"/>
    <hyperlink ref="D36" location="'Output Kennzahlen'!A1" display="Kennzahlen"/>
    <hyperlink ref="D39" location="'Liquiditätsplan Jahr 1'!A1" display="'Liquiditätsplan Jahr 1'!A1"/>
    <hyperlink ref="D23" location="'Input Eröffnungsbilanz'!D13" display="Eröffnungsbilanz &amp; Bilanzparameter"/>
    <hyperlink ref="D41" location="'Liquiditätsplan Jahr 2'!A1" display="'Liquiditätsplan Jahr 2'!A1"/>
    <hyperlink ref="D43" location="'Liquiditätsplan Jahr 3'!A1" display="'Liquiditätsplan Jahr 3'!A1"/>
    <hyperlink ref="D45" location="'Liquiditätsplan Jahr 4'!A1" display="'Liquiditätsplan Jahr 4'!A1"/>
    <hyperlink ref="D47" location="'Liquiditätsplan Jahr 5'!A1" display="'Liquiditätsplan Jahr 5'!A1"/>
  </hyperlinks>
  <pageMargins left="0.39370078740157483" right="0.39370078740157483" top="0.98425196850393704" bottom="0.98425196850393704" header="0.51181102362204722" footer="0.51181102362204722"/>
  <pageSetup paperSize="9" scale="81" orientation="portrait" r:id="rId1"/>
  <headerFooter alignWithMargins="0">
    <oddFooter>&amp;LZKB KMU Check-up&amp;CSeite &amp;P / &amp;N&amp;R&amp;D</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pageSetUpPr fitToPage="1"/>
  </sheetPr>
  <dimension ref="A1:X61"/>
  <sheetViews>
    <sheetView showGridLines="0" showRowColHeaders="0" zoomScaleNormal="100" workbookViewId="0">
      <pane xSplit="2" ySplit="5" topLeftCell="C6"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43.75" style="70" customWidth="1"/>
    <col min="4" max="4" width="10.5" style="70" customWidth="1"/>
    <col min="5" max="5" width="7.875" style="70" customWidth="1"/>
    <col min="6" max="6" width="0.75" style="72" customWidth="1"/>
    <col min="7" max="7" width="5" style="93" customWidth="1"/>
    <col min="8" max="8" width="0.75" style="70" customWidth="1"/>
    <col min="9" max="9" width="29.125" style="70" customWidth="1"/>
    <col min="10" max="10" width="30.5" style="70" hidden="1" customWidth="1"/>
    <col min="11" max="11" width="9.5" style="70" customWidth="1"/>
    <col min="12" max="12" width="9.5" style="70" hidden="1" customWidth="1"/>
    <col min="13" max="13" width="9.5" style="70" customWidth="1"/>
    <col min="14" max="14" width="9.5" style="70" hidden="1" customWidth="1"/>
    <col min="15" max="15" width="9.5" style="70" customWidth="1"/>
    <col min="16" max="16" width="9.5" style="70" hidden="1" customWidth="1"/>
    <col min="17" max="17" width="9.5" style="70" customWidth="1"/>
    <col min="18" max="18" width="9.5" style="70" hidden="1" customWidth="1"/>
    <col min="19" max="19" width="9.5" style="70" customWidth="1"/>
    <col min="20" max="16384" width="11.5" style="70"/>
  </cols>
  <sheetData>
    <row r="1" spans="1:24" hidden="1"/>
    <row r="2" spans="1:24" hidden="1"/>
    <row r="3" spans="1:24">
      <c r="C3" s="503" t="str">
        <f>IF(Hauptübersicht!E13="","Bitte Firma unter 'Home' ergänzen",Hauptübersicht!E13)</f>
        <v>GitFit</v>
      </c>
      <c r="D3" s="504"/>
      <c r="E3" s="504"/>
      <c r="F3" s="504"/>
      <c r="G3" s="504"/>
      <c r="H3" s="504"/>
      <c r="I3" s="504"/>
      <c r="J3" s="504"/>
      <c r="K3" s="504"/>
      <c r="L3" s="504"/>
      <c r="M3" s="504"/>
      <c r="N3" s="504"/>
      <c r="O3" s="504"/>
      <c r="P3" s="504"/>
      <c r="Q3" s="504"/>
      <c r="R3" s="504"/>
      <c r="S3" s="505"/>
    </row>
    <row r="5" spans="1:24" ht="27">
      <c r="A5" s="94"/>
      <c r="C5" s="95" t="s">
        <v>30</v>
      </c>
      <c r="D5" s="96"/>
      <c r="E5" s="96"/>
      <c r="F5" s="97"/>
      <c r="G5" s="98"/>
      <c r="H5" s="97"/>
      <c r="I5" s="95" t="s">
        <v>29</v>
      </c>
      <c r="J5" s="96"/>
      <c r="K5" s="96"/>
      <c r="L5" s="96"/>
      <c r="M5" s="96"/>
      <c r="N5" s="96"/>
      <c r="O5" s="96"/>
      <c r="P5" s="96"/>
      <c r="Q5" s="96"/>
      <c r="R5" s="96"/>
      <c r="S5" s="96"/>
    </row>
    <row r="6" spans="1:24" s="72" customFormat="1" ht="15.75" customHeight="1">
      <c r="A6" s="99"/>
      <c r="C6" s="97"/>
      <c r="D6" s="97"/>
      <c r="E6" s="97"/>
      <c r="F6" s="97"/>
      <c r="G6" s="98"/>
      <c r="H6" s="97"/>
      <c r="I6" s="97"/>
      <c r="J6" s="97"/>
      <c r="K6" s="97"/>
      <c r="L6" s="97"/>
      <c r="M6" s="97"/>
      <c r="N6" s="97"/>
    </row>
    <row r="7" spans="1:24" s="72" customFormat="1" ht="15.75" customHeight="1">
      <c r="A7" s="100"/>
      <c r="C7" s="506" t="s">
        <v>186</v>
      </c>
      <c r="D7" s="506"/>
      <c r="E7" s="506"/>
      <c r="F7" s="97"/>
      <c r="G7" s="98"/>
      <c r="H7" s="97"/>
      <c r="I7" s="506" t="s">
        <v>186</v>
      </c>
      <c r="J7" s="506"/>
      <c r="K7" s="506"/>
      <c r="L7" s="506"/>
      <c r="M7" s="506"/>
      <c r="N7" s="506"/>
      <c r="O7" s="506"/>
      <c r="P7" s="506"/>
      <c r="Q7" s="506"/>
      <c r="R7" s="506"/>
      <c r="S7" s="506"/>
    </row>
    <row r="8" spans="1:24" s="72" customFormat="1" ht="5.0999999999999996" customHeight="1">
      <c r="A8" s="99"/>
      <c r="C8" s="101"/>
      <c r="D8" s="101"/>
      <c r="E8" s="101"/>
      <c r="F8" s="97"/>
      <c r="G8" s="98"/>
      <c r="H8" s="97"/>
      <c r="I8" s="97"/>
      <c r="J8" s="97"/>
      <c r="K8" s="97"/>
      <c r="L8" s="97"/>
      <c r="M8" s="97"/>
      <c r="N8" s="97"/>
    </row>
    <row r="9" spans="1:24" s="72" customFormat="1" ht="36" customHeight="1">
      <c r="A9" s="99"/>
      <c r="C9" s="487" t="s">
        <v>181</v>
      </c>
      <c r="D9" s="487"/>
      <c r="E9" s="487"/>
      <c r="F9" s="97"/>
      <c r="G9" s="98"/>
      <c r="H9" s="97"/>
      <c r="I9" s="487" t="s">
        <v>166</v>
      </c>
      <c r="J9" s="487"/>
      <c r="K9" s="487"/>
      <c r="L9" s="487"/>
      <c r="M9" s="487"/>
      <c r="N9" s="487"/>
      <c r="O9" s="487"/>
      <c r="P9" s="487"/>
      <c r="Q9" s="487"/>
      <c r="R9" s="487"/>
      <c r="S9" s="487"/>
    </row>
    <row r="10" spans="1:24">
      <c r="A10" s="99"/>
    </row>
    <row r="11" spans="1:24">
      <c r="A11" s="99"/>
      <c r="C11" s="102" t="s">
        <v>0</v>
      </c>
      <c r="D11" s="103" t="str">
        <f>Hauptübersicht!E16</f>
        <v>in 1'000 CHF</v>
      </c>
      <c r="E11" s="104"/>
      <c r="F11" s="68"/>
      <c r="G11" s="161"/>
      <c r="I11" s="105"/>
      <c r="J11" s="106"/>
      <c r="K11" s="106">
        <f>Hauptübersicht!K13</f>
        <v>2017</v>
      </c>
      <c r="L11" s="106"/>
      <c r="M11" s="106">
        <f>Hauptübersicht!K14</f>
        <v>2018</v>
      </c>
      <c r="N11" s="106"/>
      <c r="O11" s="106">
        <f>Hauptübersicht!K15</f>
        <v>2019</v>
      </c>
      <c r="P11" s="106"/>
      <c r="Q11" s="106">
        <f>Hauptübersicht!K16</f>
        <v>2020</v>
      </c>
      <c r="R11" s="106"/>
      <c r="S11" s="106">
        <f>Hauptübersicht!K17</f>
        <v>2021</v>
      </c>
      <c r="T11" s="77"/>
      <c r="U11" s="77"/>
      <c r="V11" s="77"/>
      <c r="W11" s="77"/>
      <c r="X11" s="77"/>
    </row>
    <row r="12" spans="1:24">
      <c r="A12" s="99"/>
      <c r="C12" s="107" t="s">
        <v>1</v>
      </c>
      <c r="D12" s="108" t="str">
        <f>CONCATENATE("1.",Hauptübersicht!M13,".",Hauptübersicht!$E$14)</f>
        <v>1.1.2017</v>
      </c>
      <c r="E12" s="109" t="s">
        <v>2</v>
      </c>
      <c r="F12" s="110"/>
      <c r="G12" s="162"/>
      <c r="I12" s="111"/>
      <c r="J12" s="111"/>
      <c r="K12" s="111"/>
      <c r="L12" s="111"/>
      <c r="M12" s="111"/>
      <c r="N12" s="111"/>
      <c r="O12" s="111"/>
      <c r="P12" s="111"/>
      <c r="Q12" s="111"/>
      <c r="R12" s="111"/>
      <c r="S12" s="111"/>
      <c r="T12" s="112"/>
    </row>
    <row r="13" spans="1:24">
      <c r="A13" s="75"/>
      <c r="C13" s="113" t="s">
        <v>90</v>
      </c>
      <c r="D13" s="114">
        <v>200</v>
      </c>
      <c r="E13" s="502"/>
      <c r="F13" s="115"/>
      <c r="G13" s="163" t="s">
        <v>37</v>
      </c>
      <c r="I13" s="116" t="str">
        <f>CONCATENATE("Liquiditätsmindestbestand (",D11,")")</f>
        <v>Liquiditätsmindestbestand (in 1'000 CHF)</v>
      </c>
      <c r="J13" s="116"/>
      <c r="K13" s="117">
        <v>10</v>
      </c>
      <c r="L13" s="118"/>
      <c r="M13" s="111"/>
      <c r="N13" s="111"/>
      <c r="O13" s="111"/>
      <c r="P13" s="111"/>
      <c r="Q13" s="111"/>
      <c r="R13" s="111"/>
      <c r="S13" s="111"/>
      <c r="T13" s="112"/>
    </row>
    <row r="14" spans="1:24">
      <c r="A14" s="75"/>
      <c r="C14" s="119" t="s">
        <v>4</v>
      </c>
      <c r="D14" s="120">
        <v>0</v>
      </c>
      <c r="E14" s="502"/>
      <c r="F14" s="115"/>
      <c r="G14" s="163" t="s">
        <v>37</v>
      </c>
      <c r="I14" s="111" t="s">
        <v>33</v>
      </c>
      <c r="J14" s="111"/>
      <c r="K14" s="117">
        <v>45</v>
      </c>
      <c r="L14" s="117"/>
      <c r="M14" s="117">
        <v>45</v>
      </c>
      <c r="N14" s="117"/>
      <c r="O14" s="117">
        <v>45</v>
      </c>
      <c r="P14" s="117"/>
      <c r="Q14" s="117">
        <v>45</v>
      </c>
      <c r="R14" s="121"/>
      <c r="S14" s="117">
        <v>45</v>
      </c>
      <c r="T14" s="112"/>
    </row>
    <row r="15" spans="1:24">
      <c r="A15" s="75"/>
      <c r="C15" s="119" t="s">
        <v>22</v>
      </c>
      <c r="D15" s="120">
        <v>0</v>
      </c>
      <c r="E15" s="502"/>
      <c r="F15" s="115"/>
      <c r="G15" s="163" t="s">
        <v>37</v>
      </c>
      <c r="I15" s="111" t="s">
        <v>34</v>
      </c>
      <c r="J15" s="111"/>
      <c r="K15" s="122">
        <v>0</v>
      </c>
      <c r="L15" s="122">
        <v>0.01</v>
      </c>
      <c r="M15" s="123">
        <f>K15</f>
        <v>0</v>
      </c>
      <c r="N15" s="124">
        <v>0.01</v>
      </c>
      <c r="O15" s="123">
        <f>M15</f>
        <v>0</v>
      </c>
      <c r="P15" s="124">
        <v>0.01</v>
      </c>
      <c r="Q15" s="123">
        <f>O15</f>
        <v>0</v>
      </c>
      <c r="R15" s="124">
        <v>0.01</v>
      </c>
      <c r="S15" s="123">
        <f>Q15</f>
        <v>0</v>
      </c>
      <c r="T15" s="112"/>
    </row>
    <row r="16" spans="1:24">
      <c r="A16" s="75"/>
      <c r="C16" s="125" t="s">
        <v>23</v>
      </c>
      <c r="D16" s="126">
        <v>0</v>
      </c>
      <c r="E16" s="502"/>
      <c r="F16" s="115"/>
      <c r="G16" s="163" t="s">
        <v>37</v>
      </c>
      <c r="I16" s="111" t="s">
        <v>35</v>
      </c>
      <c r="J16" s="111"/>
      <c r="K16" s="117">
        <v>0</v>
      </c>
      <c r="L16" s="117"/>
      <c r="M16" s="117">
        <v>0</v>
      </c>
      <c r="N16" s="117"/>
      <c r="O16" s="117">
        <v>0</v>
      </c>
      <c r="P16" s="117"/>
      <c r="Q16" s="117">
        <v>0</v>
      </c>
      <c r="R16" s="121"/>
      <c r="S16" s="117">
        <v>0</v>
      </c>
      <c r="T16" s="112"/>
    </row>
    <row r="17" spans="1:20">
      <c r="A17" s="75"/>
      <c r="C17" s="127" t="s">
        <v>5</v>
      </c>
      <c r="D17" s="128">
        <f>SUM(D13:D16)</f>
        <v>200</v>
      </c>
      <c r="E17" s="129">
        <f>IF($D$23=0,0,+D17/$D$23)</f>
        <v>1</v>
      </c>
      <c r="F17" s="130"/>
      <c r="G17" s="164"/>
      <c r="I17" s="111"/>
      <c r="J17" s="111"/>
      <c r="K17" s="111"/>
      <c r="L17" s="111"/>
      <c r="M17" s="111"/>
      <c r="N17" s="111"/>
      <c r="O17" s="111"/>
      <c r="P17" s="111"/>
      <c r="Q17" s="111"/>
      <c r="R17" s="111"/>
      <c r="S17" s="111"/>
      <c r="T17" s="112"/>
    </row>
    <row r="18" spans="1:20">
      <c r="A18" s="75"/>
      <c r="C18" s="131" t="s">
        <v>6</v>
      </c>
      <c r="D18" s="132"/>
      <c r="E18" s="132"/>
      <c r="F18" s="68"/>
      <c r="G18" s="161"/>
      <c r="I18" s="111"/>
      <c r="J18" s="111"/>
      <c r="K18" s="111"/>
      <c r="L18" s="111"/>
      <c r="M18" s="111"/>
      <c r="N18" s="111"/>
      <c r="O18" s="111"/>
      <c r="P18" s="111"/>
      <c r="Q18" s="111"/>
      <c r="R18" s="111"/>
      <c r="S18" s="111"/>
      <c r="T18" s="112"/>
    </row>
    <row r="19" spans="1:20">
      <c r="A19" s="75"/>
      <c r="C19" s="133" t="s">
        <v>24</v>
      </c>
      <c r="D19" s="134">
        <v>0</v>
      </c>
      <c r="E19" s="501"/>
      <c r="F19" s="115"/>
      <c r="G19" s="163" t="s">
        <v>37</v>
      </c>
      <c r="I19" s="475" t="s">
        <v>36</v>
      </c>
      <c r="J19" s="111"/>
      <c r="K19" s="122">
        <v>0.33</v>
      </c>
      <c r="L19" s="122"/>
      <c r="M19" s="122">
        <v>0.5</v>
      </c>
      <c r="N19" s="122"/>
      <c r="O19" s="122">
        <v>1</v>
      </c>
      <c r="P19" s="122"/>
      <c r="Q19" s="122">
        <v>0</v>
      </c>
      <c r="R19" s="122"/>
      <c r="S19" s="122">
        <v>0</v>
      </c>
      <c r="T19" s="112"/>
    </row>
    <row r="20" spans="1:20">
      <c r="A20" s="75"/>
      <c r="C20" s="135" t="s">
        <v>7</v>
      </c>
      <c r="D20" s="120">
        <v>0</v>
      </c>
      <c r="E20" s="502"/>
      <c r="F20" s="115"/>
      <c r="G20" s="163" t="s">
        <v>37</v>
      </c>
      <c r="I20" s="475" t="s">
        <v>36</v>
      </c>
      <c r="J20" s="111"/>
      <c r="K20" s="122">
        <v>0</v>
      </c>
      <c r="L20" s="122"/>
      <c r="M20" s="122">
        <v>0</v>
      </c>
      <c r="N20" s="122"/>
      <c r="O20" s="122">
        <v>0</v>
      </c>
      <c r="P20" s="122"/>
      <c r="Q20" s="122">
        <v>0</v>
      </c>
      <c r="R20" s="122"/>
      <c r="S20" s="122">
        <v>0</v>
      </c>
      <c r="T20" s="112"/>
    </row>
    <row r="21" spans="1:20">
      <c r="A21" s="75"/>
      <c r="C21" s="136" t="s">
        <v>8</v>
      </c>
      <c r="D21" s="126">
        <v>0</v>
      </c>
      <c r="E21" s="500"/>
      <c r="F21" s="68"/>
      <c r="G21" s="163" t="s">
        <v>37</v>
      </c>
      <c r="I21" s="475" t="s">
        <v>36</v>
      </c>
      <c r="J21" s="111"/>
      <c r="K21" s="122">
        <v>0</v>
      </c>
      <c r="L21" s="122"/>
      <c r="M21" s="122">
        <v>0</v>
      </c>
      <c r="N21" s="122"/>
      <c r="O21" s="122">
        <v>0</v>
      </c>
      <c r="P21" s="122"/>
      <c r="Q21" s="122">
        <v>0</v>
      </c>
      <c r="R21" s="122"/>
      <c r="S21" s="122">
        <v>0</v>
      </c>
      <c r="T21" s="112"/>
    </row>
    <row r="22" spans="1:20">
      <c r="A22" s="75"/>
      <c r="C22" s="137" t="s">
        <v>9</v>
      </c>
      <c r="D22" s="128">
        <f>SUM(D19:D21)</f>
        <v>0</v>
      </c>
      <c r="E22" s="138">
        <f>IF($D$23=0,0,+D22/$D$23)</f>
        <v>0</v>
      </c>
      <c r="F22" s="130"/>
      <c r="G22" s="164"/>
      <c r="I22" s="111"/>
      <c r="J22" s="111"/>
      <c r="K22" s="111"/>
      <c r="L22" s="111"/>
      <c r="M22" s="111"/>
      <c r="N22" s="111"/>
      <c r="O22" s="111"/>
      <c r="P22" s="111"/>
      <c r="Q22" s="111"/>
      <c r="R22" s="111"/>
      <c r="S22" s="111"/>
      <c r="T22" s="112"/>
    </row>
    <row r="23" spans="1:20">
      <c r="A23" s="75"/>
      <c r="C23" s="139" t="s">
        <v>10</v>
      </c>
      <c r="D23" s="140">
        <f>SUM(D17+D22)</f>
        <v>200</v>
      </c>
      <c r="E23" s="141">
        <v>1</v>
      </c>
      <c r="F23" s="142"/>
      <c r="G23" s="165"/>
      <c r="I23" s="111"/>
      <c r="J23" s="111"/>
      <c r="K23" s="111"/>
      <c r="L23" s="111"/>
      <c r="M23" s="111"/>
      <c r="N23" s="111"/>
      <c r="O23" s="111"/>
      <c r="P23" s="111"/>
      <c r="Q23" s="111"/>
      <c r="R23" s="111"/>
      <c r="S23" s="111"/>
      <c r="T23" s="112"/>
    </row>
    <row r="24" spans="1:20">
      <c r="A24" s="75"/>
      <c r="C24" s="143"/>
      <c r="D24" s="116"/>
      <c r="E24" s="116"/>
      <c r="F24" s="68"/>
      <c r="G24" s="161"/>
      <c r="I24" s="111"/>
      <c r="J24" s="111"/>
      <c r="K24" s="111"/>
      <c r="L24" s="111"/>
      <c r="M24" s="111"/>
      <c r="N24" s="111"/>
      <c r="O24" s="111"/>
      <c r="P24" s="111"/>
      <c r="Q24" s="111"/>
      <c r="R24" s="111"/>
      <c r="S24" s="111"/>
      <c r="T24" s="112"/>
    </row>
    <row r="25" spans="1:20">
      <c r="A25" s="75"/>
      <c r="C25" s="102" t="s">
        <v>11</v>
      </c>
      <c r="D25" s="103" t="str">
        <f>D11</f>
        <v>in 1'000 CHF</v>
      </c>
      <c r="E25" s="104"/>
      <c r="F25" s="68"/>
      <c r="G25" s="161"/>
      <c r="I25" s="111"/>
      <c r="J25" s="111"/>
      <c r="K25" s="111"/>
      <c r="L25" s="111"/>
      <c r="M25" s="111"/>
      <c r="N25" s="111"/>
      <c r="O25" s="111"/>
      <c r="P25" s="111"/>
      <c r="Q25" s="111"/>
      <c r="R25" s="111"/>
      <c r="S25" s="111"/>
      <c r="T25" s="112"/>
    </row>
    <row r="26" spans="1:20">
      <c r="A26" s="75"/>
      <c r="C26" s="107" t="s">
        <v>12</v>
      </c>
      <c r="D26" s="108" t="str">
        <f>+D12</f>
        <v>1.1.2017</v>
      </c>
      <c r="E26" s="109" t="str">
        <f>+E12</f>
        <v>in %</v>
      </c>
      <c r="F26" s="110"/>
      <c r="G26" s="162"/>
      <c r="I26" s="111"/>
      <c r="J26" s="111"/>
      <c r="K26" s="111"/>
      <c r="L26" s="111"/>
      <c r="M26" s="111"/>
      <c r="N26" s="111"/>
      <c r="O26" s="111"/>
      <c r="P26" s="111"/>
      <c r="Q26" s="111"/>
      <c r="R26" s="111"/>
      <c r="S26" s="111"/>
      <c r="T26" s="112"/>
    </row>
    <row r="27" spans="1:20">
      <c r="A27" s="75"/>
      <c r="C27" s="113" t="s">
        <v>13</v>
      </c>
      <c r="D27" s="114">
        <v>0</v>
      </c>
      <c r="E27" s="499"/>
      <c r="F27" s="144"/>
      <c r="G27" s="163" t="s">
        <v>37</v>
      </c>
      <c r="I27" s="111" t="s">
        <v>38</v>
      </c>
      <c r="J27" s="111"/>
      <c r="K27" s="117">
        <v>30</v>
      </c>
      <c r="L27" s="117"/>
      <c r="M27" s="117">
        <v>30</v>
      </c>
      <c r="N27" s="117"/>
      <c r="O27" s="117">
        <v>30</v>
      </c>
      <c r="P27" s="117"/>
      <c r="Q27" s="117">
        <v>30</v>
      </c>
      <c r="R27" s="121"/>
      <c r="S27" s="117">
        <v>30</v>
      </c>
      <c r="T27" s="112"/>
    </row>
    <row r="28" spans="1:20">
      <c r="A28" s="75"/>
      <c r="C28" s="119" t="s">
        <v>27</v>
      </c>
      <c r="D28" s="120">
        <v>0</v>
      </c>
      <c r="E28" s="500"/>
      <c r="F28" s="68"/>
      <c r="G28" s="163"/>
      <c r="I28" s="111"/>
      <c r="J28" s="111"/>
      <c r="K28" s="111"/>
      <c r="L28" s="111"/>
      <c r="M28" s="111"/>
      <c r="N28" s="111"/>
      <c r="O28" s="111"/>
      <c r="P28" s="111"/>
      <c r="Q28" s="111"/>
      <c r="R28" s="111"/>
      <c r="S28" s="111"/>
      <c r="T28" s="112"/>
    </row>
    <row r="29" spans="1:20">
      <c r="A29" s="75"/>
      <c r="C29" s="125" t="s">
        <v>25</v>
      </c>
      <c r="D29" s="126">
        <v>0</v>
      </c>
      <c r="E29" s="500"/>
      <c r="F29" s="68"/>
      <c r="G29" s="163" t="s">
        <v>37</v>
      </c>
      <c r="I29" s="111" t="s">
        <v>39</v>
      </c>
      <c r="J29" s="111"/>
      <c r="K29" s="122">
        <v>0</v>
      </c>
      <c r="L29" s="122">
        <v>0.01</v>
      </c>
      <c r="M29" s="123">
        <f>K29</f>
        <v>0</v>
      </c>
      <c r="N29" s="124">
        <v>0.01</v>
      </c>
      <c r="O29" s="123">
        <f>M29</f>
        <v>0</v>
      </c>
      <c r="P29" s="124">
        <v>0.01</v>
      </c>
      <c r="Q29" s="123">
        <f>O29</f>
        <v>0</v>
      </c>
      <c r="R29" s="124">
        <v>0.01</v>
      </c>
      <c r="S29" s="123">
        <f>Q29</f>
        <v>0</v>
      </c>
      <c r="T29" s="112"/>
    </row>
    <row r="30" spans="1:20">
      <c r="A30" s="75"/>
      <c r="C30" s="127" t="s">
        <v>14</v>
      </c>
      <c r="D30" s="128">
        <f>SUM(D27:D29)</f>
        <v>0</v>
      </c>
      <c r="E30" s="129">
        <f>IF($D$23=0,0,+D30/$D$23)</f>
        <v>0</v>
      </c>
      <c r="F30" s="130"/>
      <c r="G30" s="164"/>
      <c r="I30" s="111"/>
      <c r="J30" s="111"/>
      <c r="K30" s="111"/>
      <c r="L30" s="111"/>
      <c r="M30" s="111"/>
      <c r="N30" s="111"/>
      <c r="O30" s="111"/>
      <c r="P30" s="111"/>
      <c r="Q30" s="111"/>
      <c r="R30" s="111"/>
      <c r="S30" s="111"/>
      <c r="T30" s="112"/>
    </row>
    <row r="31" spans="1:20">
      <c r="A31" s="75"/>
      <c r="C31" s="145" t="s">
        <v>15</v>
      </c>
      <c r="D31" s="146"/>
      <c r="E31" s="146"/>
      <c r="F31" s="68"/>
      <c r="G31" s="161"/>
      <c r="I31" s="111"/>
      <c r="J31" s="111"/>
      <c r="K31" s="111"/>
      <c r="L31" s="111"/>
      <c r="M31" s="111"/>
      <c r="N31" s="111"/>
      <c r="O31" s="111"/>
      <c r="P31" s="111"/>
      <c r="Q31" s="111"/>
      <c r="R31" s="111"/>
      <c r="S31" s="111"/>
      <c r="T31" s="112"/>
    </row>
    <row r="32" spans="1:20">
      <c r="A32" s="75"/>
      <c r="C32" s="133" t="s">
        <v>28</v>
      </c>
      <c r="D32" s="134">
        <v>0</v>
      </c>
      <c r="E32" s="508"/>
      <c r="F32" s="144"/>
      <c r="G32" s="166"/>
      <c r="I32" s="77"/>
      <c r="J32" s="111"/>
      <c r="K32" s="111"/>
      <c r="L32" s="111"/>
      <c r="M32" s="111"/>
      <c r="N32" s="111"/>
      <c r="O32" s="111"/>
      <c r="P32" s="111"/>
      <c r="Q32" s="111"/>
      <c r="R32" s="111"/>
      <c r="S32" s="111"/>
      <c r="T32" s="112"/>
    </row>
    <row r="33" spans="1:20" ht="25.5">
      <c r="A33" s="75"/>
      <c r="C33" s="147" t="s">
        <v>16</v>
      </c>
      <c r="D33" s="148">
        <v>0</v>
      </c>
      <c r="E33" s="509"/>
      <c r="F33" s="68"/>
      <c r="G33" s="163" t="s">
        <v>37</v>
      </c>
      <c r="I33" s="149" t="str">
        <f>CONCATENATE("Veränderungen Rückstellungen 
(-/+ ",D11," / nicht cashwirksam)")</f>
        <v>Veränderungen Rückstellungen 
(-/+ in 1'000 CHF / nicht cashwirksam)</v>
      </c>
      <c r="J33" s="111"/>
      <c r="K33" s="150">
        <v>0</v>
      </c>
      <c r="L33" s="150"/>
      <c r="M33" s="150">
        <v>0</v>
      </c>
      <c r="N33" s="150"/>
      <c r="O33" s="150">
        <v>0</v>
      </c>
      <c r="P33" s="150"/>
      <c r="Q33" s="150">
        <v>0</v>
      </c>
      <c r="R33" s="151"/>
      <c r="S33" s="117">
        <v>0</v>
      </c>
      <c r="T33" s="112"/>
    </row>
    <row r="34" spans="1:20">
      <c r="A34" s="75"/>
      <c r="C34" s="152" t="s">
        <v>17</v>
      </c>
      <c r="D34" s="153">
        <f>SUM(D32:D33)</f>
        <v>0</v>
      </c>
      <c r="E34" s="154">
        <f>IF($D$23=0,0,+D34/$D$23)</f>
        <v>0</v>
      </c>
      <c r="F34" s="130"/>
      <c r="G34" s="164"/>
      <c r="I34" s="155"/>
      <c r="J34" s="111"/>
      <c r="K34" s="111"/>
      <c r="L34" s="111"/>
      <c r="M34" s="111"/>
      <c r="N34" s="111"/>
      <c r="O34" s="111"/>
      <c r="P34" s="111"/>
      <c r="Q34" s="111"/>
      <c r="R34" s="111"/>
      <c r="S34" s="111"/>
      <c r="T34" s="112"/>
    </row>
    <row r="35" spans="1:20">
      <c r="A35" s="75"/>
      <c r="C35" s="131" t="s">
        <v>18</v>
      </c>
      <c r="D35" s="132"/>
      <c r="E35" s="132"/>
      <c r="F35" s="68"/>
      <c r="G35" s="161"/>
      <c r="I35" s="111"/>
      <c r="J35" s="111"/>
      <c r="K35" s="111"/>
      <c r="L35" s="111"/>
      <c r="M35" s="111"/>
      <c r="N35" s="111"/>
      <c r="O35" s="111"/>
      <c r="P35" s="111"/>
      <c r="Q35" s="111"/>
      <c r="R35" s="111"/>
      <c r="S35" s="111"/>
      <c r="T35" s="112"/>
    </row>
    <row r="36" spans="1:20">
      <c r="A36" s="75"/>
      <c r="C36" s="156" t="s">
        <v>19</v>
      </c>
      <c r="D36" s="134">
        <v>200</v>
      </c>
      <c r="E36" s="508"/>
      <c r="F36" s="144"/>
      <c r="G36" s="166"/>
      <c r="I36" s="111"/>
      <c r="J36" s="111"/>
      <c r="K36" s="111"/>
      <c r="L36" s="111"/>
      <c r="M36" s="111"/>
      <c r="N36" s="111"/>
      <c r="O36" s="111"/>
      <c r="P36" s="111"/>
      <c r="Q36" s="111"/>
      <c r="R36" s="111"/>
      <c r="S36" s="111"/>
      <c r="T36" s="112"/>
    </row>
    <row r="37" spans="1:20">
      <c r="A37" s="75"/>
      <c r="C37" s="125" t="s">
        <v>26</v>
      </c>
      <c r="D37" s="126">
        <v>0</v>
      </c>
      <c r="E37" s="500"/>
      <c r="F37" s="68"/>
      <c r="G37" s="161"/>
      <c r="I37" s="111"/>
      <c r="J37" s="111"/>
      <c r="K37" s="111"/>
      <c r="L37" s="111"/>
      <c r="M37" s="111"/>
      <c r="N37" s="111"/>
      <c r="O37" s="111"/>
      <c r="P37" s="111"/>
      <c r="Q37" s="111"/>
      <c r="R37" s="111"/>
      <c r="S37" s="111"/>
      <c r="T37" s="112"/>
    </row>
    <row r="38" spans="1:20">
      <c r="A38" s="75"/>
      <c r="C38" s="127" t="s">
        <v>20</v>
      </c>
      <c r="D38" s="128">
        <f>SUM(D35:D37)</f>
        <v>200</v>
      </c>
      <c r="E38" s="129">
        <f>IF($D$23=0,0,+D38/$D$23)</f>
        <v>1</v>
      </c>
      <c r="F38" s="130"/>
      <c r="G38" s="164"/>
      <c r="I38" s="111"/>
      <c r="J38" s="111"/>
      <c r="K38" s="111"/>
      <c r="L38" s="111"/>
      <c r="M38" s="111"/>
      <c r="N38" s="111"/>
      <c r="O38" s="111"/>
      <c r="P38" s="111"/>
      <c r="Q38" s="111"/>
      <c r="R38" s="111"/>
      <c r="S38" s="111"/>
      <c r="T38" s="112"/>
    </row>
    <row r="39" spans="1:20">
      <c r="A39" s="75"/>
      <c r="C39" s="157" t="s">
        <v>21</v>
      </c>
      <c r="D39" s="158">
        <f>SUM(D30+D34+D38)</f>
        <v>200</v>
      </c>
      <c r="E39" s="159">
        <v>1</v>
      </c>
      <c r="F39" s="160"/>
      <c r="G39" s="167"/>
      <c r="I39" s="111"/>
      <c r="J39" s="111"/>
      <c r="K39" s="111"/>
      <c r="L39" s="111"/>
      <c r="M39" s="111"/>
      <c r="N39" s="111"/>
      <c r="O39" s="111"/>
      <c r="P39" s="111"/>
      <c r="Q39" s="111"/>
      <c r="R39" s="111"/>
      <c r="S39" s="111"/>
      <c r="T39" s="112"/>
    </row>
    <row r="40" spans="1:20">
      <c r="A40" s="75"/>
      <c r="I40" s="112"/>
      <c r="J40" s="112"/>
      <c r="K40" s="112"/>
      <c r="L40" s="112"/>
      <c r="M40" s="112"/>
      <c r="N40" s="112"/>
      <c r="O40" s="112"/>
      <c r="P40" s="112"/>
      <c r="Q40" s="112"/>
      <c r="R40" s="112"/>
      <c r="S40" s="112"/>
      <c r="T40" s="112"/>
    </row>
    <row r="41" spans="1:20">
      <c r="C41" s="507" t="str">
        <f>IF(D23&lt;&gt;D39,CONCATENATE("Achtung: Aktiven &amp; Passiven müssen gleich hoch sein! Differenz: ",D23-D39),"")</f>
        <v/>
      </c>
      <c r="D41" s="507"/>
      <c r="E41" s="507"/>
      <c r="I41" s="112"/>
      <c r="J41" s="112"/>
      <c r="K41" s="112"/>
      <c r="L41" s="112"/>
      <c r="M41" s="112"/>
      <c r="N41" s="112"/>
      <c r="O41" s="112"/>
      <c r="P41" s="112"/>
      <c r="Q41" s="112"/>
      <c r="R41" s="112"/>
      <c r="S41" s="112"/>
      <c r="T41" s="112"/>
    </row>
    <row r="42" spans="1:20">
      <c r="I42" s="112"/>
      <c r="J42" s="112"/>
      <c r="K42" s="112"/>
      <c r="L42" s="112"/>
      <c r="M42" s="112"/>
      <c r="N42" s="112"/>
      <c r="O42" s="112"/>
      <c r="P42" s="112"/>
      <c r="Q42" s="112"/>
      <c r="R42" s="112"/>
      <c r="S42" s="112"/>
      <c r="T42" s="112"/>
    </row>
    <row r="43" spans="1:20">
      <c r="I43" s="112"/>
      <c r="J43" s="112"/>
      <c r="K43" s="112"/>
      <c r="L43" s="112"/>
      <c r="M43" s="112"/>
      <c r="N43" s="112"/>
      <c r="O43" s="112"/>
      <c r="P43" s="112"/>
      <c r="Q43" s="112"/>
      <c r="R43" s="112"/>
      <c r="S43" s="112"/>
      <c r="T43" s="112"/>
    </row>
    <row r="44" spans="1:20">
      <c r="I44" s="112"/>
      <c r="J44" s="112"/>
      <c r="K44" s="112"/>
      <c r="L44" s="112"/>
      <c r="M44" s="112"/>
      <c r="N44" s="112"/>
      <c r="O44" s="112"/>
      <c r="P44" s="112"/>
      <c r="Q44" s="112"/>
      <c r="R44" s="112"/>
      <c r="S44" s="112"/>
      <c r="T44" s="112"/>
    </row>
    <row r="45" spans="1:20">
      <c r="I45" s="112"/>
      <c r="J45" s="112"/>
      <c r="K45" s="112"/>
      <c r="L45" s="112"/>
      <c r="M45" s="112"/>
      <c r="N45" s="112"/>
      <c r="O45" s="112"/>
      <c r="P45" s="112"/>
      <c r="Q45" s="112"/>
      <c r="R45" s="112"/>
      <c r="S45" s="112"/>
      <c r="T45" s="112"/>
    </row>
    <row r="46" spans="1:20">
      <c r="I46" s="112"/>
      <c r="J46" s="112"/>
      <c r="K46" s="112"/>
      <c r="L46" s="112"/>
      <c r="M46" s="112"/>
      <c r="N46" s="112"/>
      <c r="O46" s="112"/>
      <c r="P46" s="112"/>
      <c r="Q46" s="112"/>
      <c r="R46" s="112"/>
      <c r="S46" s="112"/>
      <c r="T46" s="112"/>
    </row>
    <row r="47" spans="1:20">
      <c r="I47" s="112"/>
      <c r="J47" s="112"/>
      <c r="K47" s="112"/>
      <c r="L47" s="112"/>
      <c r="M47" s="112"/>
      <c r="N47" s="112"/>
      <c r="O47" s="112"/>
      <c r="P47" s="112"/>
      <c r="Q47" s="112"/>
      <c r="R47" s="112"/>
      <c r="S47" s="112"/>
      <c r="T47" s="112"/>
    </row>
    <row r="48" spans="1:20">
      <c r="I48" s="112"/>
      <c r="J48" s="112"/>
      <c r="K48" s="112"/>
      <c r="L48" s="112"/>
      <c r="M48" s="112"/>
      <c r="N48" s="112"/>
      <c r="O48" s="112"/>
      <c r="P48" s="112"/>
      <c r="Q48" s="112"/>
      <c r="R48" s="112"/>
      <c r="S48" s="112"/>
      <c r="T48" s="112"/>
    </row>
    <row r="49" spans="9:20">
      <c r="I49" s="112"/>
      <c r="J49" s="112"/>
      <c r="K49" s="112"/>
      <c r="L49" s="112"/>
      <c r="M49" s="112"/>
      <c r="N49" s="112"/>
      <c r="O49" s="112"/>
      <c r="P49" s="112"/>
      <c r="Q49" s="112"/>
      <c r="R49" s="112"/>
      <c r="S49" s="112"/>
      <c r="T49" s="112"/>
    </row>
    <row r="50" spans="9:20">
      <c r="I50" s="112"/>
      <c r="J50" s="112"/>
      <c r="K50" s="112"/>
      <c r="L50" s="112"/>
      <c r="M50" s="112"/>
      <c r="N50" s="112"/>
      <c r="O50" s="112"/>
      <c r="P50" s="112"/>
      <c r="Q50" s="112"/>
      <c r="R50" s="112"/>
      <c r="S50" s="112"/>
      <c r="T50" s="112"/>
    </row>
    <row r="51" spans="9:20">
      <c r="I51" s="112"/>
      <c r="J51" s="112"/>
      <c r="K51" s="112"/>
      <c r="L51" s="112"/>
      <c r="M51" s="112"/>
      <c r="N51" s="112"/>
      <c r="O51" s="112"/>
      <c r="P51" s="112"/>
      <c r="Q51" s="112"/>
      <c r="R51" s="112"/>
      <c r="S51" s="112"/>
      <c r="T51" s="112"/>
    </row>
    <row r="52" spans="9:20">
      <c r="I52" s="112"/>
      <c r="J52" s="112"/>
      <c r="K52" s="112"/>
      <c r="L52" s="112"/>
      <c r="M52" s="112"/>
      <c r="N52" s="112"/>
      <c r="O52" s="112"/>
      <c r="P52" s="112"/>
      <c r="Q52" s="112"/>
      <c r="R52" s="112"/>
      <c r="S52" s="112"/>
      <c r="T52" s="112"/>
    </row>
    <row r="53" spans="9:20">
      <c r="I53" s="112"/>
      <c r="J53" s="112"/>
      <c r="K53" s="112"/>
      <c r="L53" s="112"/>
      <c r="M53" s="112"/>
      <c r="N53" s="112"/>
      <c r="O53" s="112"/>
      <c r="P53" s="112"/>
      <c r="Q53" s="112"/>
      <c r="R53" s="112"/>
      <c r="S53" s="112"/>
      <c r="T53" s="112"/>
    </row>
    <row r="54" spans="9:20">
      <c r="I54" s="112"/>
      <c r="J54" s="112"/>
      <c r="K54" s="112"/>
      <c r="L54" s="112"/>
      <c r="M54" s="112"/>
      <c r="N54" s="112"/>
      <c r="O54" s="112"/>
      <c r="P54" s="112"/>
      <c r="Q54" s="112"/>
      <c r="R54" s="112"/>
      <c r="S54" s="112"/>
      <c r="T54" s="112"/>
    </row>
    <row r="55" spans="9:20">
      <c r="I55" s="112"/>
      <c r="J55" s="112"/>
      <c r="K55" s="112"/>
      <c r="L55" s="112"/>
      <c r="M55" s="112"/>
      <c r="N55" s="112"/>
      <c r="O55" s="112"/>
      <c r="P55" s="112"/>
      <c r="Q55" s="112"/>
      <c r="R55" s="112"/>
      <c r="S55" s="112"/>
      <c r="T55" s="112"/>
    </row>
    <row r="56" spans="9:20">
      <c r="I56" s="112"/>
      <c r="J56" s="112"/>
      <c r="K56" s="112"/>
      <c r="L56" s="112"/>
      <c r="M56" s="112"/>
      <c r="N56" s="112"/>
      <c r="O56" s="112"/>
      <c r="P56" s="112"/>
      <c r="Q56" s="112"/>
      <c r="R56" s="112"/>
      <c r="S56" s="112"/>
      <c r="T56" s="112"/>
    </row>
    <row r="57" spans="9:20">
      <c r="I57" s="112"/>
      <c r="J57" s="112"/>
      <c r="K57" s="112"/>
      <c r="L57" s="112"/>
      <c r="M57" s="112"/>
      <c r="N57" s="112"/>
      <c r="O57" s="112"/>
      <c r="P57" s="112"/>
      <c r="Q57" s="112"/>
      <c r="R57" s="112"/>
      <c r="S57" s="112"/>
      <c r="T57" s="112"/>
    </row>
    <row r="58" spans="9:20">
      <c r="I58" s="112"/>
      <c r="J58" s="112"/>
      <c r="K58" s="112"/>
      <c r="L58" s="112"/>
      <c r="M58" s="112"/>
      <c r="N58" s="112"/>
      <c r="O58" s="112"/>
      <c r="P58" s="112"/>
      <c r="Q58" s="112"/>
      <c r="R58" s="112"/>
      <c r="S58" s="112"/>
      <c r="T58" s="112"/>
    </row>
    <row r="59" spans="9:20">
      <c r="I59" s="112"/>
      <c r="J59" s="112"/>
      <c r="K59" s="112"/>
      <c r="L59" s="112"/>
      <c r="M59" s="112"/>
      <c r="N59" s="112"/>
      <c r="O59" s="112"/>
      <c r="P59" s="112"/>
      <c r="Q59" s="112"/>
      <c r="R59" s="112"/>
      <c r="S59" s="112"/>
      <c r="T59" s="112"/>
    </row>
    <row r="60" spans="9:20">
      <c r="I60" s="112"/>
      <c r="J60" s="112"/>
      <c r="K60" s="112"/>
      <c r="L60" s="112"/>
      <c r="M60" s="112"/>
      <c r="N60" s="112"/>
      <c r="O60" s="112"/>
      <c r="P60" s="112"/>
      <c r="Q60" s="112"/>
      <c r="R60" s="112"/>
      <c r="S60" s="112"/>
      <c r="T60" s="112"/>
    </row>
    <row r="61" spans="9:20">
      <c r="I61" s="112"/>
      <c r="J61" s="112"/>
      <c r="K61" s="112"/>
      <c r="L61" s="112"/>
      <c r="M61" s="112"/>
      <c r="N61" s="112"/>
      <c r="O61" s="112"/>
      <c r="P61" s="112"/>
      <c r="Q61" s="112"/>
      <c r="R61" s="112"/>
      <c r="S61" s="112"/>
      <c r="T61" s="112"/>
    </row>
  </sheetData>
  <sheetProtection password="C857" sheet="1" objects="1" scenarios="1"/>
  <mergeCells count="11">
    <mergeCell ref="C41:E41"/>
    <mergeCell ref="C7:E7"/>
    <mergeCell ref="C9:E9"/>
    <mergeCell ref="E36:E37"/>
    <mergeCell ref="E32:E33"/>
    <mergeCell ref="E27:E29"/>
    <mergeCell ref="E19:E21"/>
    <mergeCell ref="C3:S3"/>
    <mergeCell ref="I7:S7"/>
    <mergeCell ref="I9:S9"/>
    <mergeCell ref="E13:E16"/>
  </mergeCells>
  <phoneticPr fontId="0" type="noConversion"/>
  <dataValidations count="1">
    <dataValidation type="custom" allowBlank="1" showInputMessage="1" showErrorMessage="1" errorTitle="Ungültiger Wert" error="Negative Zahlen sind als Eingabe nicht erlaubt" sqref="D13:D16 D19:D21 D27:D29 D32:D33 D36 K13:K15 K16:S16 K27:S27 L14:S15 K29:S29 K19:S21">
      <formula1>D13&gt;=0</formula1>
    </dataValidation>
  </dataValidations>
  <hyperlinks>
    <hyperlink ref="I19" r:id="rId1"/>
    <hyperlink ref="I20" r:id="rId2"/>
    <hyperlink ref="I21" r:id="rId3"/>
  </hyperlinks>
  <pageMargins left="0.39370078740157483" right="0.39370078740157483" top="0.98425196850393704" bottom="0.98425196850393704" header="0.51181102362204722" footer="0.51181102362204722"/>
  <pageSetup paperSize="9" scale="77" orientation="landscape" r:id="rId4"/>
  <headerFooter alignWithMargins="0">
    <oddFooter>&amp;LZKB KMU Check-up&amp;CSeite &amp;P / &amp;N&amp;R&amp;D</oddFooter>
  </headerFooter>
  <drawing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N607"/>
  <sheetViews>
    <sheetView showGridLines="0" showRowColHeaders="0" tabSelected="1" zoomScaleNormal="100" workbookViewId="0">
      <pane xSplit="2" ySplit="4" topLeftCell="C5" activePane="bottomRight" state="frozenSplit"/>
      <selection activeCell="D23" sqref="D23"/>
      <selection pane="topRight" activeCell="D23" sqref="D23"/>
      <selection pane="bottomLeft" activeCell="D23" sqref="D23"/>
      <selection pane="bottomRight" activeCell="C8" sqref="C8:G8"/>
    </sheetView>
  </sheetViews>
  <sheetFormatPr baseColWidth="10" defaultColWidth="11.5" defaultRowHeight="14.25"/>
  <cols>
    <col min="1" max="1" width="11.5" style="70" customWidth="1"/>
    <col min="2" max="2" width="4.75" style="70" customWidth="1"/>
    <col min="3" max="3" width="12.75" style="70" customWidth="1"/>
    <col min="4" max="4" width="36.875" style="70" customWidth="1"/>
    <col min="5" max="5" width="10.125" style="168" customWidth="1"/>
    <col min="6" max="6" width="5.375" style="169" customWidth="1"/>
    <col min="7" max="7" width="10.125" style="168" customWidth="1"/>
    <col min="8" max="8" width="5.375" style="169" customWidth="1"/>
    <col min="9" max="9" width="10.25" style="168" customWidth="1"/>
    <col min="10" max="10" width="5.375" style="169" customWidth="1"/>
    <col min="11" max="11" width="10.875" style="168" customWidth="1"/>
    <col min="12" max="12" width="5.375" style="169" customWidth="1"/>
    <col min="13" max="13" width="10.75" style="168" customWidth="1"/>
    <col min="14" max="14" width="5.375" style="169" customWidth="1"/>
    <col min="15" max="16384" width="11.5" style="2"/>
  </cols>
  <sheetData>
    <row r="1" spans="1:14" ht="15" customHeight="1">
      <c r="B1" s="70" t="s">
        <v>51</v>
      </c>
      <c r="C1" s="503" t="str">
        <f>IF(Hauptübersicht!E13="","Bitte Firma unter 'Home' ergänzen",Hauptübersicht!E13)</f>
        <v>GitFit</v>
      </c>
      <c r="D1" s="504"/>
      <c r="E1" s="504"/>
      <c r="F1" s="504"/>
      <c r="G1" s="504"/>
      <c r="H1" s="504"/>
      <c r="I1" s="504"/>
      <c r="J1" s="504"/>
      <c r="K1" s="504"/>
      <c r="L1" s="504"/>
      <c r="M1" s="504"/>
      <c r="N1" s="505"/>
    </row>
    <row r="2" spans="1:14" ht="15" customHeight="1">
      <c r="G2" s="170" t="str">
        <f>CONCATENATE("Eingabe sämtlicher Werte mit absoluten Zahlen (",Hauptübersicht!E16,")")</f>
        <v>Eingabe sämtlicher Werte mit absoluten Zahlen (in 1'000 CHF)</v>
      </c>
      <c r="H2" s="171">
        <v>1</v>
      </c>
    </row>
    <row r="3" spans="1:14" hidden="1">
      <c r="G3" s="170" t="s">
        <v>188</v>
      </c>
      <c r="H3" s="171">
        <v>2</v>
      </c>
    </row>
    <row r="4" spans="1:14" ht="27" customHeight="1">
      <c r="A4" s="172"/>
      <c r="C4" s="510" t="s">
        <v>54</v>
      </c>
      <c r="D4" s="510"/>
      <c r="E4" s="510"/>
      <c r="F4" s="510"/>
      <c r="G4" s="510"/>
      <c r="H4" s="510"/>
      <c r="I4" s="510"/>
      <c r="J4" s="510"/>
      <c r="K4" s="510"/>
      <c r="L4" s="510"/>
      <c r="M4" s="510"/>
      <c r="N4" s="510"/>
    </row>
    <row r="5" spans="1:14" s="5" customFormat="1" ht="15.75" customHeight="1">
      <c r="A5" s="99"/>
      <c r="B5" s="72"/>
      <c r="C5" s="173"/>
      <c r="D5" s="173"/>
      <c r="E5" s="173"/>
      <c r="F5" s="173"/>
      <c r="G5" s="173"/>
      <c r="H5" s="173"/>
      <c r="I5" s="173"/>
      <c r="J5" s="173"/>
      <c r="K5" s="173"/>
      <c r="L5" s="173"/>
      <c r="M5" s="173"/>
      <c r="N5" s="173"/>
    </row>
    <row r="6" spans="1:14" s="5" customFormat="1" ht="15.75" customHeight="1">
      <c r="A6" s="174"/>
      <c r="B6" s="72"/>
      <c r="C6" s="506" t="s">
        <v>186</v>
      </c>
      <c r="D6" s="506"/>
      <c r="E6" s="506"/>
      <c r="F6" s="506"/>
      <c r="G6" s="506"/>
      <c r="H6" s="173"/>
      <c r="I6" s="173"/>
      <c r="J6" s="173"/>
      <c r="K6" s="173"/>
      <c r="L6" s="173"/>
      <c r="M6" s="173"/>
      <c r="N6" s="173"/>
    </row>
    <row r="7" spans="1:14" s="5" customFormat="1" ht="5.0999999999999996" customHeight="1">
      <c r="A7" s="175"/>
      <c r="B7" s="72"/>
      <c r="C7" s="176"/>
      <c r="D7" s="176"/>
      <c r="E7" s="173"/>
      <c r="F7" s="173"/>
      <c r="G7" s="173"/>
      <c r="H7" s="173"/>
      <c r="I7" s="173"/>
      <c r="J7" s="173"/>
      <c r="K7" s="173"/>
      <c r="L7" s="173"/>
      <c r="M7" s="173"/>
      <c r="N7" s="173"/>
    </row>
    <row r="8" spans="1:14" s="5" customFormat="1" ht="33.75" customHeight="1">
      <c r="A8" s="175"/>
      <c r="B8" s="72"/>
      <c r="C8" s="487" t="s">
        <v>169</v>
      </c>
      <c r="D8" s="487"/>
      <c r="E8" s="487"/>
      <c r="F8" s="487"/>
      <c r="G8" s="487"/>
      <c r="H8" s="243" t="s">
        <v>37</v>
      </c>
      <c r="I8" s="173"/>
      <c r="J8" s="177">
        <v>1</v>
      </c>
      <c r="K8" s="173"/>
      <c r="L8" s="173"/>
      <c r="M8" s="173"/>
      <c r="N8" s="173"/>
    </row>
    <row r="9" spans="1:14" s="5" customFormat="1" ht="5.0999999999999996" customHeight="1">
      <c r="A9" s="175"/>
      <c r="B9" s="72"/>
      <c r="C9" s="178"/>
      <c r="D9" s="178"/>
      <c r="E9" s="178"/>
      <c r="F9" s="178"/>
      <c r="G9" s="178"/>
      <c r="H9" s="173"/>
      <c r="I9" s="173"/>
      <c r="J9" s="173"/>
      <c r="K9" s="173"/>
      <c r="L9" s="173"/>
      <c r="M9" s="173"/>
      <c r="N9" s="173"/>
    </row>
    <row r="10" spans="1:14" s="5" customFormat="1" ht="34.5" customHeight="1">
      <c r="A10" s="175"/>
      <c r="B10" s="72"/>
      <c r="C10" s="487" t="s">
        <v>167</v>
      </c>
      <c r="D10" s="487"/>
      <c r="E10" s="487"/>
      <c r="F10" s="487"/>
      <c r="G10" s="487"/>
      <c r="H10" s="173"/>
      <c r="I10" s="173"/>
      <c r="J10" s="173"/>
      <c r="K10" s="173"/>
      <c r="L10" s="173"/>
      <c r="M10" s="173"/>
      <c r="N10" s="173"/>
    </row>
    <row r="11" spans="1:14" s="5" customFormat="1" ht="5.0999999999999996" customHeight="1">
      <c r="A11" s="72"/>
      <c r="B11" s="72"/>
      <c r="C11" s="72"/>
      <c r="D11" s="72"/>
      <c r="E11" s="179"/>
      <c r="F11" s="180"/>
      <c r="G11" s="179"/>
      <c r="H11" s="180"/>
      <c r="I11" s="179"/>
      <c r="J11" s="180"/>
      <c r="K11" s="179"/>
      <c r="L11" s="180"/>
      <c r="M11" s="179"/>
      <c r="N11" s="180"/>
    </row>
    <row r="12" spans="1:14" s="3" customFormat="1" ht="12.75">
      <c r="A12" s="181"/>
      <c r="B12" s="182"/>
      <c r="C12" s="531" t="str">
        <f>Hauptübersicht!E16</f>
        <v>in 1'000 CHF</v>
      </c>
      <c r="D12" s="532"/>
      <c r="E12" s="519">
        <f>Hauptübersicht!K13</f>
        <v>2017</v>
      </c>
      <c r="F12" s="520"/>
      <c r="G12" s="521">
        <f>Hauptübersicht!K14</f>
        <v>2018</v>
      </c>
      <c r="H12" s="520"/>
      <c r="I12" s="521">
        <f>Hauptübersicht!K15</f>
        <v>2019</v>
      </c>
      <c r="J12" s="520"/>
      <c r="K12" s="521">
        <f>Hauptübersicht!K16</f>
        <v>2020</v>
      </c>
      <c r="L12" s="520"/>
      <c r="M12" s="519">
        <f>Hauptübersicht!K17</f>
        <v>2021</v>
      </c>
      <c r="N12" s="520"/>
    </row>
    <row r="13" spans="1:14" s="3" customFormat="1" ht="13.5" thickBot="1">
      <c r="A13" s="181"/>
      <c r="B13" s="182"/>
      <c r="C13" s="533" t="s">
        <v>40</v>
      </c>
      <c r="D13" s="534"/>
      <c r="E13" s="183"/>
      <c r="F13" s="184"/>
      <c r="G13" s="184"/>
      <c r="H13" s="184"/>
      <c r="I13" s="184"/>
      <c r="J13" s="184"/>
      <c r="K13" s="184"/>
      <c r="L13" s="184"/>
      <c r="M13" s="184"/>
      <c r="N13" s="185"/>
    </row>
    <row r="14" spans="1:14" s="1" customFormat="1" ht="4.5" customHeight="1">
      <c r="A14" s="112"/>
      <c r="B14" s="111"/>
      <c r="C14" s="522"/>
      <c r="D14" s="523"/>
      <c r="E14" s="187"/>
      <c r="F14" s="188"/>
      <c r="G14" s="189"/>
      <c r="H14" s="188"/>
      <c r="I14" s="189"/>
      <c r="J14" s="188"/>
      <c r="K14" s="189"/>
      <c r="L14" s="188"/>
      <c r="M14" s="187"/>
      <c r="N14" s="188"/>
    </row>
    <row r="15" spans="1:14" s="6" customFormat="1" ht="12.75">
      <c r="A15" s="111"/>
      <c r="B15" s="111"/>
      <c r="C15" s="522" t="s">
        <v>42</v>
      </c>
      <c r="D15" s="523"/>
      <c r="E15" s="190">
        <v>8</v>
      </c>
      <c r="F15" s="191" t="s">
        <v>45</v>
      </c>
      <c r="G15" s="192">
        <v>70</v>
      </c>
      <c r="H15" s="193">
        <f>G15/E15-1</f>
        <v>7.75</v>
      </c>
      <c r="I15" s="192">
        <v>300</v>
      </c>
      <c r="J15" s="193">
        <f>I15/G15-1</f>
        <v>3.2857142857142856</v>
      </c>
      <c r="K15" s="192"/>
      <c r="L15" s="193">
        <f>K15/I15-1</f>
        <v>-1</v>
      </c>
      <c r="M15" s="190"/>
      <c r="N15" s="193" t="e">
        <f>M15/K15-1</f>
        <v>#DIV/0!</v>
      </c>
    </row>
    <row r="16" spans="1:14" s="6" customFormat="1" ht="12.75">
      <c r="A16" s="111"/>
      <c r="B16" s="111"/>
      <c r="C16" s="522" t="s">
        <v>41</v>
      </c>
      <c r="D16" s="523"/>
      <c r="E16" s="194"/>
      <c r="F16" s="191" t="s">
        <v>45</v>
      </c>
      <c r="G16" s="195">
        <f>E16*(1+H16)</f>
        <v>0</v>
      </c>
      <c r="H16" s="196"/>
      <c r="I16" s="195">
        <f>G16*(1+J16)</f>
        <v>0</v>
      </c>
      <c r="J16" s="196"/>
      <c r="K16" s="195">
        <f>I16*(1+L16)</f>
        <v>0</v>
      </c>
      <c r="L16" s="196"/>
      <c r="M16" s="197">
        <f>K16*(1+N16)</f>
        <v>0</v>
      </c>
      <c r="N16" s="196"/>
    </row>
    <row r="17" spans="1:14" s="6" customFormat="1" ht="12.75">
      <c r="A17" s="111"/>
      <c r="B17" s="111"/>
      <c r="C17" s="522" t="s">
        <v>43</v>
      </c>
      <c r="D17" s="523"/>
      <c r="E17" s="190">
        <f>0.01*E15</f>
        <v>0.08</v>
      </c>
      <c r="F17" s="193">
        <f>E17/E$15</f>
        <v>0.01</v>
      </c>
      <c r="G17" s="192">
        <f>0.01*G15</f>
        <v>0.70000000000000007</v>
      </c>
      <c r="H17" s="193">
        <f>G17/G$15</f>
        <v>0.01</v>
      </c>
      <c r="I17" s="192">
        <f>0.01*I15</f>
        <v>3</v>
      </c>
      <c r="J17" s="193">
        <f>I17/I$15</f>
        <v>0.01</v>
      </c>
      <c r="K17" s="192"/>
      <c r="L17" s="193" t="e">
        <f>K17/K$15</f>
        <v>#DIV/0!</v>
      </c>
      <c r="M17" s="190"/>
      <c r="N17" s="193" t="e">
        <f>M17/M$15</f>
        <v>#DIV/0!</v>
      </c>
    </row>
    <row r="18" spans="1:14" s="6" customFormat="1" ht="12.75">
      <c r="A18" s="111"/>
      <c r="B18" s="111"/>
      <c r="C18" s="522" t="s">
        <v>43</v>
      </c>
      <c r="D18" s="523"/>
      <c r="E18" s="197">
        <f>E$16*F18</f>
        <v>0</v>
      </c>
      <c r="F18" s="196"/>
      <c r="G18" s="195">
        <f>G$16*H18</f>
        <v>0</v>
      </c>
      <c r="H18" s="196"/>
      <c r="I18" s="195">
        <f>I$16*J18</f>
        <v>0</v>
      </c>
      <c r="J18" s="196"/>
      <c r="K18" s="195">
        <f>K$16*L18</f>
        <v>0</v>
      </c>
      <c r="L18" s="196"/>
      <c r="M18" s="197">
        <f>M$16*N18</f>
        <v>0</v>
      </c>
      <c r="N18" s="196"/>
    </row>
    <row r="19" spans="1:14" s="6" customFormat="1" ht="12.75">
      <c r="A19" s="111"/>
      <c r="B19" s="111"/>
      <c r="C19" s="522" t="s">
        <v>44</v>
      </c>
      <c r="D19" s="523"/>
      <c r="E19" s="190">
        <v>290</v>
      </c>
      <c r="F19" s="193">
        <f>E19/E$15</f>
        <v>36.25</v>
      </c>
      <c r="G19" s="192">
        <v>290</v>
      </c>
      <c r="H19" s="193">
        <f>G19/G$15</f>
        <v>4.1428571428571432</v>
      </c>
      <c r="I19" s="192">
        <v>290</v>
      </c>
      <c r="J19" s="193">
        <f>I19/I$15</f>
        <v>0.96666666666666667</v>
      </c>
      <c r="K19" s="192"/>
      <c r="L19" s="193" t="e">
        <f>K19/K$15</f>
        <v>#DIV/0!</v>
      </c>
      <c r="M19" s="190"/>
      <c r="N19" s="193" t="e">
        <f>M19/M$15</f>
        <v>#DIV/0!</v>
      </c>
    </row>
    <row r="20" spans="1:14" s="6" customFormat="1" ht="12.75">
      <c r="A20" s="111"/>
      <c r="B20" s="111"/>
      <c r="C20" s="522" t="s">
        <v>44</v>
      </c>
      <c r="D20" s="523"/>
      <c r="E20" s="197">
        <f>E$16*F20</f>
        <v>0</v>
      </c>
      <c r="F20" s="196"/>
      <c r="G20" s="195">
        <f>G$16*H20</f>
        <v>0</v>
      </c>
      <c r="H20" s="196"/>
      <c r="I20" s="195">
        <f>I$16*J20</f>
        <v>0</v>
      </c>
      <c r="J20" s="196"/>
      <c r="K20" s="195">
        <f>K$16*L20</f>
        <v>0</v>
      </c>
      <c r="L20" s="196"/>
      <c r="M20" s="197">
        <f>M$16*N20</f>
        <v>0</v>
      </c>
      <c r="N20" s="196"/>
    </row>
    <row r="21" spans="1:14" s="6" customFormat="1" ht="12.75">
      <c r="A21" s="111"/>
      <c r="B21" s="111"/>
      <c r="C21" s="522" t="s">
        <v>46</v>
      </c>
      <c r="D21" s="523"/>
      <c r="E21" s="190">
        <v>0</v>
      </c>
      <c r="F21" s="193">
        <f>E21/E$15</f>
        <v>0</v>
      </c>
      <c r="G21" s="192">
        <v>0</v>
      </c>
      <c r="H21" s="193">
        <f>G21/G$15</f>
        <v>0</v>
      </c>
      <c r="I21" s="192">
        <v>0</v>
      </c>
      <c r="J21" s="193">
        <f>I21/I$15</f>
        <v>0</v>
      </c>
      <c r="K21" s="192"/>
      <c r="L21" s="193" t="e">
        <f>K21/K$15</f>
        <v>#DIV/0!</v>
      </c>
      <c r="M21" s="190"/>
      <c r="N21" s="193" t="e">
        <f>M21/M$15</f>
        <v>#DIV/0!</v>
      </c>
    </row>
    <row r="22" spans="1:14" s="6" customFormat="1" ht="12.75">
      <c r="A22" s="111"/>
      <c r="B22" s="111"/>
      <c r="C22" s="522" t="s">
        <v>46</v>
      </c>
      <c r="D22" s="523"/>
      <c r="E22" s="197">
        <f>E$16*F22</f>
        <v>0</v>
      </c>
      <c r="F22" s="196"/>
      <c r="G22" s="195">
        <f>G$16*H22</f>
        <v>0</v>
      </c>
      <c r="H22" s="196"/>
      <c r="I22" s="195">
        <f>I$16*J22</f>
        <v>0</v>
      </c>
      <c r="J22" s="196"/>
      <c r="K22" s="195">
        <f>K$16*L22</f>
        <v>0</v>
      </c>
      <c r="L22" s="196"/>
      <c r="M22" s="197">
        <f>M$16*N22</f>
        <v>0</v>
      </c>
      <c r="N22" s="196"/>
    </row>
    <row r="23" spans="1:14" s="6" customFormat="1" ht="12.75">
      <c r="A23" s="111"/>
      <c r="B23" s="111"/>
      <c r="C23" s="463" t="s">
        <v>62</v>
      </c>
      <c r="D23" s="462" t="str">
        <f>CONCATENATE("/ ",C23," in % zu Nettoumsatz")</f>
        <v>/ Werbeaufwand in % zu Nettoumsatz</v>
      </c>
      <c r="E23" s="190">
        <v>10</v>
      </c>
      <c r="F23" s="193">
        <f>E23/E$15</f>
        <v>1.25</v>
      </c>
      <c r="G23" s="192">
        <v>10</v>
      </c>
      <c r="H23" s="193">
        <f>G23/G$15</f>
        <v>0.14285714285714285</v>
      </c>
      <c r="I23" s="192">
        <f>0.05*I15</f>
        <v>15</v>
      </c>
      <c r="J23" s="193">
        <f>I23/I$15</f>
        <v>0.05</v>
      </c>
      <c r="K23" s="192"/>
      <c r="L23" s="193" t="e">
        <f>K23/K$15</f>
        <v>#DIV/0!</v>
      </c>
      <c r="M23" s="190"/>
      <c r="N23" s="193" t="e">
        <f>M23/M$15</f>
        <v>#DIV/0!</v>
      </c>
    </row>
    <row r="24" spans="1:14" s="6" customFormat="1" ht="12.75">
      <c r="A24" s="111"/>
      <c r="B24" s="111"/>
      <c r="C24" s="463" t="s">
        <v>62</v>
      </c>
      <c r="D24" s="462" t="str">
        <f>CONCATENATE("/ ",C24," in % zu Nettoumsatz")</f>
        <v>/ Werbeaufwand in % zu Nettoumsatz</v>
      </c>
      <c r="E24" s="197">
        <f>E$16*F24</f>
        <v>0</v>
      </c>
      <c r="F24" s="196"/>
      <c r="G24" s="195">
        <f>G$16*H24</f>
        <v>0</v>
      </c>
      <c r="H24" s="196"/>
      <c r="I24" s="195">
        <f>I$16*J24</f>
        <v>0</v>
      </c>
      <c r="J24" s="196"/>
      <c r="K24" s="195">
        <f>K$16*L24</f>
        <v>0</v>
      </c>
      <c r="L24" s="196"/>
      <c r="M24" s="197">
        <f>M$16*N24</f>
        <v>0</v>
      </c>
      <c r="N24" s="196"/>
    </row>
    <row r="25" spans="1:14" s="6" customFormat="1" ht="12.75">
      <c r="A25" s="111"/>
      <c r="B25" s="111"/>
      <c r="C25" s="522" t="s">
        <v>47</v>
      </c>
      <c r="D25" s="523"/>
      <c r="E25" s="190">
        <v>10</v>
      </c>
      <c r="F25" s="193">
        <f>E25/E$15</f>
        <v>1.25</v>
      </c>
      <c r="G25" s="192">
        <v>10</v>
      </c>
      <c r="H25" s="193">
        <f>G25/G$15</f>
        <v>0.14285714285714285</v>
      </c>
      <c r="I25" s="192">
        <v>10</v>
      </c>
      <c r="J25" s="193">
        <f>I25/I$15</f>
        <v>3.3333333333333333E-2</v>
      </c>
      <c r="K25" s="192"/>
      <c r="L25" s="193" t="e">
        <f>K25/K$15</f>
        <v>#DIV/0!</v>
      </c>
      <c r="M25" s="190"/>
      <c r="N25" s="193" t="e">
        <f>M25/M$15</f>
        <v>#DIV/0!</v>
      </c>
    </row>
    <row r="26" spans="1:14" s="6" customFormat="1" ht="12.75">
      <c r="A26" s="111"/>
      <c r="B26" s="111"/>
      <c r="C26" s="522" t="s">
        <v>47</v>
      </c>
      <c r="D26" s="523"/>
      <c r="E26" s="197">
        <f>E$16*F26</f>
        <v>0</v>
      </c>
      <c r="F26" s="196"/>
      <c r="G26" s="195">
        <f>G$16*H26</f>
        <v>0</v>
      </c>
      <c r="H26" s="196"/>
      <c r="I26" s="195">
        <f>I$16*J26</f>
        <v>0</v>
      </c>
      <c r="J26" s="196"/>
      <c r="K26" s="195">
        <f>K$16*L26</f>
        <v>0</v>
      </c>
      <c r="L26" s="196"/>
      <c r="M26" s="197">
        <f>M$16*N26</f>
        <v>0</v>
      </c>
      <c r="N26" s="196"/>
    </row>
    <row r="27" spans="1:14" s="6" customFormat="1" ht="12.75">
      <c r="A27" s="111"/>
      <c r="B27" s="111"/>
      <c r="C27" s="544" t="s">
        <v>55</v>
      </c>
      <c r="D27" s="545"/>
      <c r="E27" s="198">
        <f>E15-E17-E19-E21-E23-E25</f>
        <v>-302.08</v>
      </c>
      <c r="F27" s="199">
        <f>E27/E15</f>
        <v>-37.76</v>
      </c>
      <c r="G27" s="200">
        <f>G15-G17-G19-G21-G23-G25</f>
        <v>-240.7</v>
      </c>
      <c r="H27" s="199">
        <f>G27/G15</f>
        <v>-3.4385714285714286</v>
      </c>
      <c r="I27" s="200">
        <f>I15-I17-I19-I21-I23-I25</f>
        <v>-18</v>
      </c>
      <c r="J27" s="199">
        <f>I27/I15</f>
        <v>-0.06</v>
      </c>
      <c r="K27" s="200">
        <f>K15-K17-K19-K21-K23-K25</f>
        <v>0</v>
      </c>
      <c r="L27" s="199" t="e">
        <f>K27/K15</f>
        <v>#DIV/0!</v>
      </c>
      <c r="M27" s="198">
        <f>M15-M17-M19-M21-M23-M25</f>
        <v>0</v>
      </c>
      <c r="N27" s="199" t="e">
        <f>M27/M15</f>
        <v>#DIV/0!</v>
      </c>
    </row>
    <row r="28" spans="1:14" s="6" customFormat="1" ht="26.25" customHeight="1">
      <c r="A28" s="111"/>
      <c r="B28" s="111"/>
      <c r="C28" s="548" t="s">
        <v>55</v>
      </c>
      <c r="D28" s="549"/>
      <c r="E28" s="198">
        <f>E16-E18-E20-E22-E24-E26</f>
        <v>0</v>
      </c>
      <c r="F28" s="199" t="e">
        <f>E28/E16</f>
        <v>#DIV/0!</v>
      </c>
      <c r="G28" s="200">
        <f>G16-G18-G20-G22-G24-G26</f>
        <v>0</v>
      </c>
      <c r="H28" s="199" t="e">
        <f>G28/G16</f>
        <v>#DIV/0!</v>
      </c>
      <c r="I28" s="200">
        <f>I16-I18-I20-I22-I24-I26</f>
        <v>0</v>
      </c>
      <c r="J28" s="199" t="e">
        <f>I28/I16</f>
        <v>#DIV/0!</v>
      </c>
      <c r="K28" s="200">
        <f>K16-K18-K20-K22-K24-K26</f>
        <v>0</v>
      </c>
      <c r="L28" s="199" t="e">
        <f>K28/K16</f>
        <v>#DIV/0!</v>
      </c>
      <c r="M28" s="198">
        <f>M16-M18-M20-M22-M24-M26</f>
        <v>0</v>
      </c>
      <c r="N28" s="199" t="e">
        <f>M28/M16</f>
        <v>#DIV/0!</v>
      </c>
    </row>
    <row r="29" spans="1:14" s="6" customFormat="1" ht="12.75">
      <c r="A29" s="111"/>
      <c r="B29" s="111"/>
      <c r="C29" s="522" t="s">
        <v>48</v>
      </c>
      <c r="D29" s="523"/>
      <c r="E29" s="515">
        <v>0.06</v>
      </c>
      <c r="F29" s="512"/>
      <c r="G29" s="515">
        <v>0.06</v>
      </c>
      <c r="H29" s="512"/>
      <c r="I29" s="515">
        <v>0.06</v>
      </c>
      <c r="J29" s="512"/>
      <c r="K29" s="511"/>
      <c r="L29" s="512"/>
      <c r="M29" s="515"/>
      <c r="N29" s="512"/>
    </row>
    <row r="30" spans="1:14" s="6" customFormat="1" ht="12.75">
      <c r="A30" s="111"/>
      <c r="B30" s="111"/>
      <c r="C30" s="522" t="s">
        <v>48</v>
      </c>
      <c r="D30" s="523"/>
      <c r="E30" s="516"/>
      <c r="F30" s="517"/>
      <c r="G30" s="518"/>
      <c r="H30" s="517"/>
      <c r="I30" s="518"/>
      <c r="J30" s="517"/>
      <c r="K30" s="518"/>
      <c r="L30" s="517"/>
      <c r="M30" s="518"/>
      <c r="N30" s="517"/>
    </row>
    <row r="31" spans="1:14" s="6" customFormat="1" ht="12.75">
      <c r="A31" s="111"/>
      <c r="B31" s="111"/>
      <c r="C31" s="522" t="s">
        <v>49</v>
      </c>
      <c r="D31" s="523"/>
      <c r="E31" s="515">
        <v>0.05</v>
      </c>
      <c r="F31" s="512"/>
      <c r="G31" s="511">
        <v>0.05</v>
      </c>
      <c r="H31" s="512"/>
      <c r="I31" s="511">
        <v>0.05</v>
      </c>
      <c r="J31" s="512"/>
      <c r="K31" s="511"/>
      <c r="L31" s="512"/>
      <c r="M31" s="515"/>
      <c r="N31" s="512"/>
    </row>
    <row r="32" spans="1:14" s="6" customFormat="1" ht="12.75">
      <c r="A32" s="111"/>
      <c r="B32" s="111"/>
      <c r="C32" s="522" t="s">
        <v>49</v>
      </c>
      <c r="D32" s="523"/>
      <c r="E32" s="516"/>
      <c r="F32" s="517"/>
      <c r="G32" s="518"/>
      <c r="H32" s="517"/>
      <c r="I32" s="518"/>
      <c r="J32" s="517"/>
      <c r="K32" s="518"/>
      <c r="L32" s="517"/>
      <c r="M32" s="518"/>
      <c r="N32" s="517"/>
    </row>
    <row r="33" spans="1:14" s="1" customFormat="1" ht="12.75">
      <c r="A33" s="112"/>
      <c r="B33" s="112"/>
      <c r="C33" s="522" t="s">
        <v>87</v>
      </c>
      <c r="D33" s="523"/>
      <c r="E33" s="515">
        <v>0.25</v>
      </c>
      <c r="F33" s="512"/>
      <c r="G33" s="511">
        <v>0.25</v>
      </c>
      <c r="H33" s="512"/>
      <c r="I33" s="511">
        <v>0.25</v>
      </c>
      <c r="J33" s="512"/>
      <c r="K33" s="511"/>
      <c r="L33" s="512"/>
      <c r="M33" s="515"/>
      <c r="N33" s="512"/>
    </row>
    <row r="34" spans="1:14" s="1" customFormat="1" ht="16.5" customHeight="1">
      <c r="A34" s="112"/>
      <c r="B34" s="112"/>
      <c r="C34" s="546" t="s">
        <v>87</v>
      </c>
      <c r="D34" s="547"/>
      <c r="E34" s="526"/>
      <c r="F34" s="514"/>
      <c r="G34" s="513"/>
      <c r="H34" s="514"/>
      <c r="I34" s="513"/>
      <c r="J34" s="514"/>
      <c r="K34" s="513"/>
      <c r="L34" s="514"/>
      <c r="M34" s="513"/>
      <c r="N34" s="514"/>
    </row>
    <row r="35" spans="1:14" s="1" customFormat="1" ht="0.75" customHeight="1" thickBot="1">
      <c r="A35" s="112"/>
      <c r="B35" s="112"/>
      <c r="C35" s="202"/>
      <c r="D35" s="202"/>
      <c r="E35" s="203"/>
      <c r="F35" s="204"/>
      <c r="G35" s="203"/>
      <c r="H35" s="204"/>
      <c r="I35" s="203"/>
      <c r="J35" s="204"/>
      <c r="K35" s="203"/>
      <c r="L35" s="204"/>
      <c r="M35" s="203"/>
      <c r="N35" s="204"/>
    </row>
    <row r="36" spans="1:14" s="1" customFormat="1" ht="8.25" customHeight="1">
      <c r="A36" s="112"/>
      <c r="B36" s="112"/>
      <c r="C36" s="112"/>
      <c r="D36" s="112"/>
      <c r="E36" s="205"/>
      <c r="F36" s="206"/>
      <c r="G36" s="205"/>
      <c r="H36" s="206"/>
      <c r="I36" s="205"/>
      <c r="J36" s="206"/>
      <c r="K36" s="205"/>
      <c r="L36" s="206"/>
      <c r="M36" s="205"/>
      <c r="N36" s="206"/>
    </row>
    <row r="37" spans="1:14" s="7" customFormat="1" ht="15.75" hidden="1" customHeight="1">
      <c r="A37" s="207"/>
      <c r="B37" s="207"/>
      <c r="C37" s="208"/>
      <c r="D37" s="208"/>
      <c r="E37" s="209"/>
      <c r="F37" s="210"/>
      <c r="G37" s="209"/>
      <c r="H37" s="210"/>
      <c r="I37" s="209"/>
      <c r="J37" s="210"/>
      <c r="K37" s="209"/>
      <c r="L37" s="210"/>
      <c r="M37" s="209"/>
      <c r="N37" s="210"/>
    </row>
    <row r="38" spans="1:14" s="8" customFormat="1" ht="15.75" hidden="1" customHeight="1">
      <c r="A38" s="211"/>
      <c r="B38" s="211"/>
      <c r="C38" s="212" t="s">
        <v>59</v>
      </c>
      <c r="D38" s="212"/>
      <c r="E38" s="213">
        <f>IF('Input Geschäftsgang'!$J$8=1,'Input Geschäftsgang'!E15,'Input Geschäftsgang'!E16)</f>
        <v>8</v>
      </c>
      <c r="F38" s="213"/>
      <c r="G38" s="213">
        <f>IF('Input Geschäftsgang'!$J$8=1,'Input Geschäftsgang'!G15,'Input Geschäftsgang'!G16)</f>
        <v>70</v>
      </c>
      <c r="H38" s="213"/>
      <c r="I38" s="213">
        <f>IF('Input Geschäftsgang'!$J$8=1,'Input Geschäftsgang'!I15,'Input Geschäftsgang'!I16)</f>
        <v>300</v>
      </c>
      <c r="J38" s="213"/>
      <c r="K38" s="213">
        <f>IF('Input Geschäftsgang'!$J$8=1,'Input Geschäftsgang'!K15,'Input Geschäftsgang'!K16)</f>
        <v>0</v>
      </c>
      <c r="L38" s="213"/>
      <c r="M38" s="213">
        <f>IF('Input Geschäftsgang'!$J$8=1,'Input Geschäftsgang'!M15,'Input Geschäftsgang'!M16)</f>
        <v>0</v>
      </c>
      <c r="N38" s="213"/>
    </row>
    <row r="39" spans="1:14" s="7" customFormat="1" ht="15.75" hidden="1" customHeight="1">
      <c r="A39" s="207"/>
      <c r="B39" s="207"/>
      <c r="C39" s="214" t="s">
        <v>56</v>
      </c>
      <c r="D39" s="214"/>
      <c r="E39" s="209">
        <f>IF('Input Geschäftsgang'!$J$8=1,'Input Geschäftsgang'!E17,'Input Geschäftsgang'!E18)</f>
        <v>0.08</v>
      </c>
      <c r="F39" s="209"/>
      <c r="G39" s="209">
        <f>IF('Input Geschäftsgang'!$J$8=1,'Input Geschäftsgang'!G17,'Input Geschäftsgang'!G18)</f>
        <v>0.70000000000000007</v>
      </c>
      <c r="H39" s="209"/>
      <c r="I39" s="209">
        <f>IF('Input Geschäftsgang'!$J$8=1,'Input Geschäftsgang'!I17,'Input Geschäftsgang'!I18)</f>
        <v>3</v>
      </c>
      <c r="J39" s="209"/>
      <c r="K39" s="209">
        <f>IF('Input Geschäftsgang'!$J$8=1,'Input Geschäftsgang'!K17,'Input Geschäftsgang'!K18)</f>
        <v>0</v>
      </c>
      <c r="L39" s="209"/>
      <c r="M39" s="209">
        <f>IF('Input Geschäftsgang'!$J$8=1,'Input Geschäftsgang'!M17,'Input Geschäftsgang'!M18)</f>
        <v>0</v>
      </c>
      <c r="N39" s="209"/>
    </row>
    <row r="40" spans="1:14" s="8" customFormat="1" ht="15.75" hidden="1" customHeight="1">
      <c r="A40" s="211"/>
      <c r="B40" s="211"/>
      <c r="C40" s="212" t="s">
        <v>60</v>
      </c>
      <c r="D40" s="212"/>
      <c r="E40" s="213">
        <f>E38-E39</f>
        <v>7.92</v>
      </c>
      <c r="F40" s="213"/>
      <c r="G40" s="213">
        <f t="shared" ref="G40:M40" si="0">G38-G39</f>
        <v>69.3</v>
      </c>
      <c r="H40" s="213"/>
      <c r="I40" s="213">
        <f t="shared" si="0"/>
        <v>297</v>
      </c>
      <c r="J40" s="213"/>
      <c r="K40" s="213">
        <f t="shared" si="0"/>
        <v>0</v>
      </c>
      <c r="L40" s="213"/>
      <c r="M40" s="213">
        <f t="shared" si="0"/>
        <v>0</v>
      </c>
      <c r="N40" s="213"/>
    </row>
    <row r="41" spans="1:14" s="7" customFormat="1" ht="15.75" hidden="1" customHeight="1">
      <c r="A41" s="207"/>
      <c r="B41" s="207"/>
      <c r="C41" s="214" t="s">
        <v>57</v>
      </c>
      <c r="D41" s="214"/>
      <c r="E41" s="209">
        <f>IF('Input Geschäftsgang'!$J$8=1,'Input Geschäftsgang'!E19,'Input Geschäftsgang'!E20)</f>
        <v>290</v>
      </c>
      <c r="F41" s="209"/>
      <c r="G41" s="209">
        <f>IF('Input Geschäftsgang'!$J$8=1,'Input Geschäftsgang'!G19,'Input Geschäftsgang'!G20)</f>
        <v>290</v>
      </c>
      <c r="H41" s="209"/>
      <c r="I41" s="209">
        <f>IF('Input Geschäftsgang'!$J$8=1,'Input Geschäftsgang'!I19,'Input Geschäftsgang'!I20)</f>
        <v>290</v>
      </c>
      <c r="J41" s="209"/>
      <c r="K41" s="209">
        <f>IF('Input Geschäftsgang'!$J$8=1,'Input Geschäftsgang'!K19,'Input Geschäftsgang'!K20)</f>
        <v>0</v>
      </c>
      <c r="L41" s="209"/>
      <c r="M41" s="209">
        <f>IF('Input Geschäftsgang'!$J$8=1,'Input Geschäftsgang'!M19,'Input Geschäftsgang'!M20)</f>
        <v>0</v>
      </c>
      <c r="N41" s="209"/>
    </row>
    <row r="42" spans="1:14" s="7" customFormat="1" ht="15.75" hidden="1" customHeight="1">
      <c r="A42" s="207"/>
      <c r="B42" s="207"/>
      <c r="C42" s="214" t="s">
        <v>61</v>
      </c>
      <c r="D42" s="214"/>
      <c r="E42" s="209">
        <f>IF('Input Geschäftsgang'!$J$8=1,'Input Geschäftsgang'!E21,'Input Geschäftsgang'!E22)</f>
        <v>0</v>
      </c>
      <c r="F42" s="209"/>
      <c r="G42" s="209">
        <f>IF('Input Geschäftsgang'!$J$8=1,'Input Geschäftsgang'!G21,'Input Geschäftsgang'!G22)</f>
        <v>0</v>
      </c>
      <c r="H42" s="209"/>
      <c r="I42" s="209">
        <f>IF('Input Geschäftsgang'!$J$8=1,'Input Geschäftsgang'!I21,'Input Geschäftsgang'!I22)</f>
        <v>0</v>
      </c>
      <c r="J42" s="209"/>
      <c r="K42" s="209">
        <f>IF('Input Geschäftsgang'!$J$8=1,'Input Geschäftsgang'!K21,'Input Geschäftsgang'!K22)</f>
        <v>0</v>
      </c>
      <c r="L42" s="209"/>
      <c r="M42" s="209">
        <f>IF('Input Geschäftsgang'!$J$8=1,'Input Geschäftsgang'!M21,'Input Geschäftsgang'!M22)</f>
        <v>0</v>
      </c>
      <c r="N42" s="209"/>
    </row>
    <row r="43" spans="1:14" s="7" customFormat="1" ht="15.75" hidden="1" customHeight="1">
      <c r="A43" s="207"/>
      <c r="B43" s="207"/>
      <c r="C43" s="214" t="s">
        <v>62</v>
      </c>
      <c r="D43" s="214"/>
      <c r="E43" s="209">
        <f>IF('Input Geschäftsgang'!$J$8=1,'Input Geschäftsgang'!E23,'Input Geschäftsgang'!E24)</f>
        <v>10</v>
      </c>
      <c r="F43" s="209"/>
      <c r="G43" s="209">
        <f>IF('Input Geschäftsgang'!$J$8=1,'Input Geschäftsgang'!G23,'Input Geschäftsgang'!G24)</f>
        <v>10</v>
      </c>
      <c r="H43" s="209"/>
      <c r="I43" s="209">
        <f>IF('Input Geschäftsgang'!$J$8=1,'Input Geschäftsgang'!I23,'Input Geschäftsgang'!I24)</f>
        <v>15</v>
      </c>
      <c r="J43" s="209"/>
      <c r="K43" s="209">
        <f>IF('Input Geschäftsgang'!$J$8=1,'Input Geschäftsgang'!K23,'Input Geschäftsgang'!K24)</f>
        <v>0</v>
      </c>
      <c r="L43" s="209"/>
      <c r="M43" s="209">
        <f>IF('Input Geschäftsgang'!$J$8=1,'Input Geschäftsgang'!M23,'Input Geschäftsgang'!M24)</f>
        <v>0</v>
      </c>
      <c r="N43" s="209"/>
    </row>
    <row r="44" spans="1:14" s="7" customFormat="1" ht="15.75" hidden="1" customHeight="1">
      <c r="A44" s="207"/>
      <c r="B44" s="207"/>
      <c r="C44" s="214" t="s">
        <v>63</v>
      </c>
      <c r="D44" s="214"/>
      <c r="E44" s="209">
        <f>IF('Input Geschäftsgang'!$J$8=1,'Input Geschäftsgang'!E25,'Input Geschäftsgang'!E26)</f>
        <v>10</v>
      </c>
      <c r="F44" s="209"/>
      <c r="G44" s="209">
        <f>IF('Input Geschäftsgang'!$J$8=1,'Input Geschäftsgang'!G25,'Input Geschäftsgang'!G26)</f>
        <v>10</v>
      </c>
      <c r="H44" s="209"/>
      <c r="I44" s="209">
        <f>IF('Input Geschäftsgang'!$J$8=1,'Input Geschäftsgang'!I25,'Input Geschäftsgang'!I26)</f>
        <v>10</v>
      </c>
      <c r="J44" s="209"/>
      <c r="K44" s="209">
        <f>IF('Input Geschäftsgang'!$J$8=1,'Input Geschäftsgang'!K25,'Input Geschäftsgang'!K26)</f>
        <v>0</v>
      </c>
      <c r="L44" s="209"/>
      <c r="M44" s="209">
        <f>IF('Input Geschäftsgang'!$J$8=1,'Input Geschäftsgang'!M25,'Input Geschäftsgang'!M26)</f>
        <v>0</v>
      </c>
      <c r="N44" s="209"/>
    </row>
    <row r="45" spans="1:14" s="8" customFormat="1" ht="15.75" hidden="1" customHeight="1">
      <c r="A45" s="211"/>
      <c r="B45" s="211"/>
      <c r="C45" s="212" t="s">
        <v>55</v>
      </c>
      <c r="D45" s="212"/>
      <c r="E45" s="213">
        <f>E40-SUM(E41:E44)</f>
        <v>-302.08</v>
      </c>
      <c r="F45" s="213"/>
      <c r="G45" s="213">
        <f t="shared" ref="G45:M45" si="1">G40-SUM(G41:G44)</f>
        <v>-240.7</v>
      </c>
      <c r="H45" s="213"/>
      <c r="I45" s="213">
        <f t="shared" si="1"/>
        <v>-18</v>
      </c>
      <c r="J45" s="213"/>
      <c r="K45" s="213">
        <f t="shared" si="1"/>
        <v>0</v>
      </c>
      <c r="L45" s="213"/>
      <c r="M45" s="213">
        <f t="shared" si="1"/>
        <v>0</v>
      </c>
      <c r="N45" s="213"/>
    </row>
    <row r="46" spans="1:14" s="7" customFormat="1" ht="15.75" hidden="1" customHeight="1">
      <c r="A46" s="207"/>
      <c r="B46" s="207"/>
      <c r="C46" s="212"/>
      <c r="D46" s="212"/>
      <c r="E46" s="209"/>
      <c r="F46" s="209"/>
      <c r="G46" s="209"/>
      <c r="H46" s="209"/>
      <c r="I46" s="209"/>
      <c r="J46" s="209"/>
      <c r="K46" s="209"/>
      <c r="L46" s="209"/>
      <c r="M46" s="209"/>
      <c r="N46" s="209"/>
    </row>
    <row r="47" spans="1:14" s="9" customFormat="1" ht="15.75" hidden="1" customHeight="1">
      <c r="A47" s="215"/>
      <c r="B47" s="215"/>
      <c r="C47" s="216" t="s">
        <v>48</v>
      </c>
      <c r="D47" s="217"/>
      <c r="E47" s="217">
        <f>IF('Input Geschäftsgang'!$J$8=1,'Input Geschäftsgang'!E29,'Input Geschäftsgang'!E30)</f>
        <v>0.06</v>
      </c>
      <c r="F47" s="217"/>
      <c r="G47" s="217">
        <f>IF('Input Geschäftsgang'!$J$8=1,'Input Geschäftsgang'!G29,'Input Geschäftsgang'!G30)</f>
        <v>0.06</v>
      </c>
      <c r="H47" s="217"/>
      <c r="I47" s="217">
        <f>IF('Input Geschäftsgang'!$J$8=1,'Input Geschäftsgang'!I29,'Input Geschäftsgang'!I30)</f>
        <v>0.06</v>
      </c>
      <c r="J47" s="217"/>
      <c r="K47" s="217">
        <f>IF('Input Geschäftsgang'!$J$8=1,'Input Geschäftsgang'!K29,'Input Geschäftsgang'!K30)</f>
        <v>0</v>
      </c>
      <c r="L47" s="217"/>
      <c r="M47" s="217">
        <f>IF('Input Geschäftsgang'!$J$8=1,'Input Geschäftsgang'!M29,'Input Geschäftsgang'!M30)</f>
        <v>0</v>
      </c>
      <c r="N47" s="217"/>
    </row>
    <row r="48" spans="1:14" s="9" customFormat="1" ht="15.75" hidden="1" customHeight="1">
      <c r="A48" s="215"/>
      <c r="B48" s="215"/>
      <c r="C48" s="216" t="s">
        <v>49</v>
      </c>
      <c r="D48" s="217"/>
      <c r="E48" s="217">
        <f>IF('Input Geschäftsgang'!$J$8=1,'Input Geschäftsgang'!E31,'Input Geschäftsgang'!E32)</f>
        <v>0.05</v>
      </c>
      <c r="F48" s="217"/>
      <c r="G48" s="217">
        <f>IF('Input Geschäftsgang'!$J$8=1,'Input Geschäftsgang'!G31,'Input Geschäftsgang'!G32)</f>
        <v>0.05</v>
      </c>
      <c r="H48" s="217"/>
      <c r="I48" s="217">
        <f>IF('Input Geschäftsgang'!$J$8=1,'Input Geschäftsgang'!I31,'Input Geschäftsgang'!I32)</f>
        <v>0.05</v>
      </c>
      <c r="J48" s="217"/>
      <c r="K48" s="217">
        <f>IF('Input Geschäftsgang'!$J$8=1,'Input Geschäftsgang'!K31,'Input Geschäftsgang'!K32)</f>
        <v>0</v>
      </c>
      <c r="L48" s="217"/>
      <c r="M48" s="217">
        <f>IF('Input Geschäftsgang'!$J$8=1,'Input Geschäftsgang'!M31,'Input Geschäftsgang'!M32)</f>
        <v>0</v>
      </c>
      <c r="N48" s="217"/>
    </row>
    <row r="49" spans="1:14" s="10" customFormat="1" ht="15.75" hidden="1" customHeight="1">
      <c r="A49" s="218"/>
      <c r="B49" s="218"/>
      <c r="C49" s="219" t="s">
        <v>87</v>
      </c>
      <c r="D49" s="219"/>
      <c r="E49" s="217">
        <f>IF('Input Geschäftsgang'!$J$8=1,'Input Geschäftsgang'!E33,'Input Geschäftsgang'!E34)</f>
        <v>0.25</v>
      </c>
      <c r="F49" s="217"/>
      <c r="G49" s="217">
        <f>IF('Input Geschäftsgang'!$J$8=1,'Input Geschäftsgang'!G33,'Input Geschäftsgang'!G34)</f>
        <v>0.25</v>
      </c>
      <c r="H49" s="217"/>
      <c r="I49" s="217">
        <f>IF('Input Geschäftsgang'!$J$8=1,'Input Geschäftsgang'!I33,'Input Geschäftsgang'!I34)</f>
        <v>0.25</v>
      </c>
      <c r="J49" s="217"/>
      <c r="K49" s="217">
        <f>IF('Input Geschäftsgang'!$J$8=1,'Input Geschäftsgang'!K33,'Input Geschäftsgang'!K34)</f>
        <v>0</v>
      </c>
      <c r="L49" s="217"/>
      <c r="M49" s="217">
        <f>IF('Input Geschäftsgang'!$J$8=1,'Input Geschäftsgang'!M33,'Input Geschäftsgang'!M34)</f>
        <v>0</v>
      </c>
      <c r="N49" s="217"/>
    </row>
    <row r="50" spans="1:14" s="4" customFormat="1" ht="15.75" hidden="1" customHeight="1">
      <c r="A50" s="220"/>
      <c r="B50" s="220"/>
      <c r="C50" s="221"/>
      <c r="D50" s="221"/>
      <c r="E50" s="222"/>
      <c r="F50" s="223"/>
      <c r="G50" s="222"/>
      <c r="H50" s="223"/>
      <c r="I50" s="222"/>
      <c r="J50" s="223"/>
      <c r="K50" s="222"/>
      <c r="L50" s="223"/>
      <c r="M50" s="222"/>
      <c r="N50" s="223"/>
    </row>
    <row r="51" spans="1:14" s="1" customFormat="1" ht="15.75" hidden="1" customHeight="1" thickBot="1">
      <c r="A51" s="112"/>
      <c r="B51" s="112"/>
      <c r="C51" s="112"/>
      <c r="D51" s="112"/>
      <c r="E51" s="205"/>
      <c r="F51" s="206"/>
      <c r="G51" s="205"/>
      <c r="H51" s="206"/>
      <c r="I51" s="205"/>
      <c r="J51" s="206"/>
      <c r="K51" s="205"/>
      <c r="L51" s="206"/>
      <c r="M51" s="205"/>
      <c r="N51" s="206"/>
    </row>
    <row r="52" spans="1:14" s="6" customFormat="1" ht="12.75">
      <c r="A52" s="111"/>
      <c r="B52" s="111"/>
      <c r="C52" s="527" t="s">
        <v>50</v>
      </c>
      <c r="D52" s="528"/>
      <c r="E52" s="524">
        <f>E12</f>
        <v>2017</v>
      </c>
      <c r="F52" s="525"/>
      <c r="G52" s="524">
        <f>G12</f>
        <v>2018</v>
      </c>
      <c r="H52" s="525"/>
      <c r="I52" s="524">
        <f>I12</f>
        <v>2019</v>
      </c>
      <c r="J52" s="525"/>
      <c r="K52" s="524">
        <f>K12</f>
        <v>2020</v>
      </c>
      <c r="L52" s="525"/>
      <c r="M52" s="535">
        <f>M12</f>
        <v>2021</v>
      </c>
      <c r="N52" s="525"/>
    </row>
    <row r="53" spans="1:14" s="6" customFormat="1" ht="12.75">
      <c r="A53" s="111"/>
      <c r="B53" s="111"/>
      <c r="C53" s="529" t="s">
        <v>24</v>
      </c>
      <c r="D53" s="530"/>
      <c r="E53" s="224"/>
      <c r="F53" s="225"/>
      <c r="G53" s="224"/>
      <c r="H53" s="225"/>
      <c r="I53" s="224"/>
      <c r="J53" s="225"/>
      <c r="K53" s="224"/>
      <c r="L53" s="225"/>
      <c r="M53" s="226"/>
      <c r="N53" s="225"/>
    </row>
    <row r="54" spans="1:14" s="6" customFormat="1" ht="12.75">
      <c r="A54" s="111"/>
      <c r="B54" s="111"/>
      <c r="C54" s="536" t="s">
        <v>71</v>
      </c>
      <c r="D54" s="537"/>
      <c r="E54" s="228">
        <v>-10</v>
      </c>
      <c r="F54" s="229"/>
      <c r="G54" s="228">
        <v>-5</v>
      </c>
      <c r="H54" s="229"/>
      <c r="I54" s="228">
        <v>-3</v>
      </c>
      <c r="J54" s="229"/>
      <c r="K54" s="228"/>
      <c r="L54" s="229"/>
      <c r="M54" s="228"/>
      <c r="N54" s="229"/>
    </row>
    <row r="55" spans="1:14" s="6" customFormat="1" ht="12.75">
      <c r="A55" s="111"/>
      <c r="B55" s="111"/>
      <c r="C55" s="538" t="s">
        <v>70</v>
      </c>
      <c r="D55" s="539"/>
      <c r="E55" s="228"/>
      <c r="F55" s="229"/>
      <c r="G55" s="228"/>
      <c r="H55" s="229"/>
      <c r="I55" s="228"/>
      <c r="J55" s="229"/>
      <c r="K55" s="228"/>
      <c r="L55" s="229"/>
      <c r="M55" s="228"/>
      <c r="N55" s="229"/>
    </row>
    <row r="56" spans="1:14" s="11" customFormat="1" ht="12.75">
      <c r="A56" s="230"/>
      <c r="B56" s="230"/>
      <c r="C56" s="540" t="s">
        <v>52</v>
      </c>
      <c r="D56" s="541"/>
      <c r="E56" s="231"/>
      <c r="F56" s="232"/>
      <c r="G56" s="231"/>
      <c r="H56" s="232"/>
      <c r="I56" s="231"/>
      <c r="J56" s="232"/>
      <c r="K56" s="231"/>
      <c r="L56" s="232"/>
      <c r="M56" s="231"/>
      <c r="N56" s="232"/>
    </row>
    <row r="57" spans="1:14" s="7" customFormat="1" ht="12.75" hidden="1">
      <c r="A57" s="207"/>
      <c r="B57" s="207"/>
      <c r="C57" s="233" t="s">
        <v>189</v>
      </c>
      <c r="D57" s="233"/>
      <c r="E57" s="234">
        <f>'Output Planbilanz'!D14-'Input Geschäftsgang'!E54</f>
        <v>10</v>
      </c>
      <c r="F57" s="235"/>
      <c r="G57" s="234">
        <f>'Output Planbilanz'!F14-'Input Geschäftsgang'!G54</f>
        <v>11.7</v>
      </c>
      <c r="H57" s="235"/>
      <c r="I57" s="234">
        <f>'Output Planbilanz'!H14-'Input Geschäftsgang'!I54</f>
        <v>8.85</v>
      </c>
      <c r="J57" s="235"/>
      <c r="K57" s="234">
        <f>'Output Planbilanz'!J14-'Input Geschäftsgang'!K54</f>
        <v>0</v>
      </c>
      <c r="L57" s="235"/>
      <c r="M57" s="234">
        <f>'Output Planbilanz'!L14-'Input Geschäftsgang'!M54</f>
        <v>0</v>
      </c>
      <c r="N57" s="235"/>
    </row>
    <row r="58" spans="1:14" s="7" customFormat="1" ht="12.75" hidden="1">
      <c r="A58" s="207"/>
      <c r="B58" s="207"/>
      <c r="C58" s="233" t="s">
        <v>69</v>
      </c>
      <c r="D58" s="233"/>
      <c r="E58" s="234">
        <f>-E54-E56</f>
        <v>10</v>
      </c>
      <c r="F58" s="235"/>
      <c r="G58" s="234">
        <f>-G54-G56</f>
        <v>5</v>
      </c>
      <c r="H58" s="235"/>
      <c r="I58" s="234">
        <f>-I54-I56</f>
        <v>3</v>
      </c>
      <c r="J58" s="235"/>
      <c r="K58" s="234">
        <f>-K54-K56</f>
        <v>0</v>
      </c>
      <c r="L58" s="235"/>
      <c r="M58" s="236">
        <f>-M54-M56</f>
        <v>0</v>
      </c>
      <c r="N58" s="235"/>
    </row>
    <row r="59" spans="1:14" s="7" customFormat="1" ht="12.75" hidden="1">
      <c r="A59" s="207"/>
      <c r="B59" s="207"/>
      <c r="C59" s="233" t="s">
        <v>68</v>
      </c>
      <c r="D59" s="233"/>
      <c r="E59" s="234">
        <f>E55-E56</f>
        <v>0</v>
      </c>
      <c r="F59" s="235"/>
      <c r="G59" s="234">
        <f>G55-G56</f>
        <v>0</v>
      </c>
      <c r="H59" s="235"/>
      <c r="I59" s="234">
        <f>I55-I56</f>
        <v>0</v>
      </c>
      <c r="J59" s="235"/>
      <c r="K59" s="234">
        <f>K55-K56</f>
        <v>0</v>
      </c>
      <c r="L59" s="235"/>
      <c r="M59" s="236">
        <f>M55-M56</f>
        <v>0</v>
      </c>
      <c r="N59" s="235"/>
    </row>
    <row r="60" spans="1:14" s="6" customFormat="1" ht="12.75">
      <c r="A60" s="111"/>
      <c r="B60" s="111"/>
      <c r="C60" s="529" t="s">
        <v>7</v>
      </c>
      <c r="D60" s="530"/>
      <c r="E60" s="224"/>
      <c r="F60" s="225"/>
      <c r="G60" s="224"/>
      <c r="H60" s="225"/>
      <c r="I60" s="224"/>
      <c r="J60" s="225"/>
      <c r="K60" s="224"/>
      <c r="L60" s="225"/>
      <c r="M60" s="226"/>
      <c r="N60" s="225"/>
    </row>
    <row r="61" spans="1:14" s="6" customFormat="1" ht="12.75">
      <c r="A61" s="111"/>
      <c r="B61" s="111"/>
      <c r="C61" s="536" t="s">
        <v>71</v>
      </c>
      <c r="D61" s="537"/>
      <c r="E61" s="228"/>
      <c r="F61" s="229"/>
      <c r="G61" s="228"/>
      <c r="H61" s="229"/>
      <c r="I61" s="228"/>
      <c r="J61" s="229"/>
      <c r="K61" s="228"/>
      <c r="L61" s="229"/>
      <c r="M61" s="228"/>
      <c r="N61" s="229"/>
    </row>
    <row r="62" spans="1:14" s="6" customFormat="1" ht="12.75">
      <c r="A62" s="111"/>
      <c r="B62" s="111"/>
      <c r="C62" s="538" t="s">
        <v>70</v>
      </c>
      <c r="D62" s="539"/>
      <c r="E62" s="228"/>
      <c r="F62" s="229"/>
      <c r="G62" s="228"/>
      <c r="H62" s="229"/>
      <c r="I62" s="228"/>
      <c r="J62" s="229"/>
      <c r="K62" s="228"/>
      <c r="L62" s="229"/>
      <c r="M62" s="228"/>
      <c r="N62" s="229"/>
    </row>
    <row r="63" spans="1:14" s="11" customFormat="1" ht="12.75">
      <c r="A63" s="230"/>
      <c r="B63" s="230"/>
      <c r="C63" s="540" t="s">
        <v>52</v>
      </c>
      <c r="D63" s="541"/>
      <c r="E63" s="231"/>
      <c r="F63" s="232"/>
      <c r="G63" s="231"/>
      <c r="H63" s="232"/>
      <c r="I63" s="231"/>
      <c r="J63" s="232"/>
      <c r="K63" s="231"/>
      <c r="L63" s="232"/>
      <c r="M63" s="231"/>
      <c r="N63" s="232"/>
    </row>
    <row r="64" spans="1:14" s="7" customFormat="1" ht="12.75" hidden="1">
      <c r="A64" s="207"/>
      <c r="B64" s="207"/>
      <c r="C64" s="233" t="s">
        <v>189</v>
      </c>
      <c r="D64" s="233"/>
      <c r="E64" s="234">
        <f>'Output Planbilanz'!D15-'Input Geschäftsgang'!E61</f>
        <v>0</v>
      </c>
      <c r="F64" s="235"/>
      <c r="G64" s="234">
        <f>'Output Planbilanz'!F15-'Input Geschäftsgang'!G61</f>
        <v>0</v>
      </c>
      <c r="H64" s="235"/>
      <c r="I64" s="234">
        <f>'Output Planbilanz'!H15-'Input Geschäftsgang'!I61</f>
        <v>0</v>
      </c>
      <c r="J64" s="235"/>
      <c r="K64" s="234">
        <f>'Output Planbilanz'!J15-'Input Geschäftsgang'!K61</f>
        <v>0</v>
      </c>
      <c r="L64" s="235"/>
      <c r="M64" s="234">
        <f>'Output Planbilanz'!L15-'Input Geschäftsgang'!M61</f>
        <v>0</v>
      </c>
      <c r="N64" s="235"/>
    </row>
    <row r="65" spans="1:14" s="7" customFormat="1" ht="12.75" hidden="1">
      <c r="A65" s="207"/>
      <c r="B65" s="207"/>
      <c r="C65" s="233" t="s">
        <v>69</v>
      </c>
      <c r="D65" s="233"/>
      <c r="E65" s="234">
        <f>-E61-E63</f>
        <v>0</v>
      </c>
      <c r="F65" s="235"/>
      <c r="G65" s="234">
        <f>-G61-G63</f>
        <v>0</v>
      </c>
      <c r="H65" s="235"/>
      <c r="I65" s="234">
        <f>-I61-I63</f>
        <v>0</v>
      </c>
      <c r="J65" s="235"/>
      <c r="K65" s="234">
        <f>-K61-K63</f>
        <v>0</v>
      </c>
      <c r="L65" s="235"/>
      <c r="M65" s="236">
        <f>-M61-M63</f>
        <v>0</v>
      </c>
      <c r="N65" s="235"/>
    </row>
    <row r="66" spans="1:14" s="7" customFormat="1" ht="12.75" hidden="1">
      <c r="A66" s="207"/>
      <c r="B66" s="207"/>
      <c r="C66" s="233" t="s">
        <v>68</v>
      </c>
      <c r="D66" s="233"/>
      <c r="E66" s="234">
        <f>E62-E63</f>
        <v>0</v>
      </c>
      <c r="F66" s="235"/>
      <c r="G66" s="234">
        <f>G62-G63</f>
        <v>0</v>
      </c>
      <c r="H66" s="235"/>
      <c r="I66" s="234">
        <f>I62-I63</f>
        <v>0</v>
      </c>
      <c r="J66" s="235"/>
      <c r="K66" s="234">
        <f>K62-K63</f>
        <v>0</v>
      </c>
      <c r="L66" s="235"/>
      <c r="M66" s="236">
        <f>M62-M63</f>
        <v>0</v>
      </c>
      <c r="N66" s="235"/>
    </row>
    <row r="67" spans="1:14" s="6" customFormat="1" ht="12.75">
      <c r="A67" s="111"/>
      <c r="B67" s="111"/>
      <c r="C67" s="529" t="s">
        <v>8</v>
      </c>
      <c r="D67" s="530"/>
      <c r="E67" s="224"/>
      <c r="F67" s="225"/>
      <c r="G67" s="224"/>
      <c r="H67" s="225"/>
      <c r="I67" s="224"/>
      <c r="J67" s="225"/>
      <c r="K67" s="224"/>
      <c r="L67" s="225"/>
      <c r="M67" s="226"/>
      <c r="N67" s="225"/>
    </row>
    <row r="68" spans="1:14" s="6" customFormat="1" ht="12.75">
      <c r="A68" s="111"/>
      <c r="B68" s="111"/>
      <c r="C68" s="536" t="s">
        <v>71</v>
      </c>
      <c r="D68" s="537"/>
      <c r="E68" s="228"/>
      <c r="F68" s="229"/>
      <c r="G68" s="228"/>
      <c r="H68" s="229"/>
      <c r="I68" s="228"/>
      <c r="J68" s="229"/>
      <c r="K68" s="228"/>
      <c r="L68" s="229"/>
      <c r="M68" s="228"/>
      <c r="N68" s="229"/>
    </row>
    <row r="69" spans="1:14" s="6" customFormat="1" ht="12.75">
      <c r="A69" s="111"/>
      <c r="B69" s="111"/>
      <c r="C69" s="538" t="s">
        <v>70</v>
      </c>
      <c r="D69" s="539"/>
      <c r="E69" s="228"/>
      <c r="F69" s="229"/>
      <c r="G69" s="228"/>
      <c r="H69" s="229"/>
      <c r="I69" s="228"/>
      <c r="J69" s="229"/>
      <c r="K69" s="228"/>
      <c r="L69" s="229"/>
      <c r="M69" s="228"/>
      <c r="N69" s="229"/>
    </row>
    <row r="70" spans="1:14" s="11" customFormat="1" ht="12.75">
      <c r="A70" s="230"/>
      <c r="B70" s="230"/>
      <c r="C70" s="540" t="s">
        <v>52</v>
      </c>
      <c r="D70" s="541"/>
      <c r="E70" s="231"/>
      <c r="F70" s="232"/>
      <c r="G70" s="231"/>
      <c r="H70" s="232"/>
      <c r="I70" s="231"/>
      <c r="J70" s="232"/>
      <c r="K70" s="231"/>
      <c r="L70" s="232"/>
      <c r="M70" s="231"/>
      <c r="N70" s="237"/>
    </row>
    <row r="71" spans="1:14" s="7" customFormat="1" ht="12.75" hidden="1">
      <c r="A71" s="207"/>
      <c r="B71" s="207"/>
      <c r="C71" s="233" t="s">
        <v>189</v>
      </c>
      <c r="D71" s="233"/>
      <c r="E71" s="234">
        <f>'Output Planbilanz'!D16-'Input Geschäftsgang'!E68</f>
        <v>0</v>
      </c>
      <c r="F71" s="235"/>
      <c r="G71" s="234">
        <f>'Output Planbilanz'!F16-'Input Geschäftsgang'!G68</f>
        <v>0</v>
      </c>
      <c r="H71" s="235"/>
      <c r="I71" s="234">
        <f>'Output Planbilanz'!H16-'Input Geschäftsgang'!I68</f>
        <v>0</v>
      </c>
      <c r="J71" s="235"/>
      <c r="K71" s="234">
        <f>'Output Planbilanz'!J16-'Input Geschäftsgang'!K68</f>
        <v>0</v>
      </c>
      <c r="L71" s="235"/>
      <c r="M71" s="234">
        <f>'Output Planbilanz'!L16-'Input Geschäftsgang'!M68</f>
        <v>0</v>
      </c>
      <c r="N71" s="235"/>
    </row>
    <row r="72" spans="1:14" s="7" customFormat="1" ht="12.75" hidden="1">
      <c r="A72" s="207"/>
      <c r="B72" s="207"/>
      <c r="C72" s="233" t="s">
        <v>69</v>
      </c>
      <c r="D72" s="233"/>
      <c r="E72" s="234">
        <f>-E68-E70</f>
        <v>0</v>
      </c>
      <c r="F72" s="235"/>
      <c r="G72" s="234">
        <f>-G68-G70</f>
        <v>0</v>
      </c>
      <c r="H72" s="235"/>
      <c r="I72" s="234">
        <f>-I68-I70</f>
        <v>0</v>
      </c>
      <c r="J72" s="235"/>
      <c r="K72" s="234">
        <f>-K68-K70</f>
        <v>0</v>
      </c>
      <c r="L72" s="235"/>
      <c r="M72" s="236">
        <f>-M68-M70</f>
        <v>0</v>
      </c>
      <c r="N72" s="235"/>
    </row>
    <row r="73" spans="1:14" s="7" customFormat="1" ht="12.75" hidden="1">
      <c r="A73" s="207"/>
      <c r="B73" s="207"/>
      <c r="C73" s="233" t="s">
        <v>68</v>
      </c>
      <c r="D73" s="233"/>
      <c r="E73" s="234">
        <f>E69-E70</f>
        <v>0</v>
      </c>
      <c r="F73" s="235"/>
      <c r="G73" s="234">
        <f>G69-G70</f>
        <v>0</v>
      </c>
      <c r="H73" s="235"/>
      <c r="I73" s="234">
        <f>I69-I70</f>
        <v>0</v>
      </c>
      <c r="J73" s="235"/>
      <c r="K73" s="234">
        <f>K69-K70</f>
        <v>0</v>
      </c>
      <c r="L73" s="235"/>
      <c r="M73" s="236">
        <f>M69-M70</f>
        <v>0</v>
      </c>
      <c r="N73" s="235"/>
    </row>
    <row r="74" spans="1:14" s="6" customFormat="1" ht="15.75" customHeight="1">
      <c r="A74" s="111"/>
      <c r="B74" s="111"/>
      <c r="C74" s="542" t="s">
        <v>53</v>
      </c>
      <c r="D74" s="543"/>
      <c r="E74" s="238">
        <f>E54+E55+E61+E62+E68+E69</f>
        <v>-10</v>
      </c>
      <c r="F74" s="239"/>
      <c r="G74" s="238">
        <f>G54+G55+G61+G62+G68+G69</f>
        <v>-5</v>
      </c>
      <c r="H74" s="239"/>
      <c r="I74" s="238">
        <f>I54+I55+I61+I62+I68+I69</f>
        <v>-3</v>
      </c>
      <c r="J74" s="239"/>
      <c r="K74" s="238">
        <f>K54+K55+K61+K62+K68+K69</f>
        <v>0</v>
      </c>
      <c r="L74" s="239"/>
      <c r="M74" s="240">
        <f>M54+M55+M61+M62+M68+M69</f>
        <v>0</v>
      </c>
      <c r="N74" s="239"/>
    </row>
    <row r="75" spans="1:14" s="6" customFormat="1" ht="12.75">
      <c r="A75" s="111"/>
      <c r="B75" s="111"/>
      <c r="C75" s="111"/>
      <c r="D75" s="111"/>
      <c r="E75" s="241"/>
      <c r="F75" s="242"/>
      <c r="G75" s="241"/>
      <c r="H75" s="242"/>
      <c r="I75" s="241"/>
      <c r="J75" s="242"/>
      <c r="K75" s="241"/>
      <c r="L75" s="242"/>
      <c r="M75" s="241"/>
      <c r="N75" s="242"/>
    </row>
    <row r="76" spans="1:14" s="6" customFormat="1" ht="12.75">
      <c r="A76" s="111"/>
      <c r="B76" s="111"/>
      <c r="C76" s="111"/>
      <c r="D76" s="111"/>
      <c r="E76" s="241"/>
      <c r="F76" s="242"/>
      <c r="G76" s="241"/>
      <c r="H76" s="242"/>
      <c r="I76" s="241"/>
      <c r="J76" s="242"/>
      <c r="K76" s="241"/>
      <c r="L76" s="242"/>
      <c r="M76" s="241"/>
      <c r="N76" s="242"/>
    </row>
    <row r="77" spans="1:14" s="6" customFormat="1" ht="12.75">
      <c r="A77" s="111"/>
      <c r="B77" s="111"/>
      <c r="C77" s="111"/>
      <c r="D77" s="111"/>
      <c r="E77" s="241"/>
      <c r="F77" s="242"/>
      <c r="G77" s="241"/>
      <c r="H77" s="242"/>
      <c r="I77" s="241"/>
      <c r="J77" s="242"/>
      <c r="K77" s="241"/>
      <c r="L77" s="242"/>
      <c r="M77" s="241"/>
      <c r="N77" s="242"/>
    </row>
    <row r="78" spans="1:14" s="1" customFormat="1" ht="12.75">
      <c r="A78" s="112"/>
      <c r="B78" s="112"/>
      <c r="C78" s="112"/>
      <c r="D78" s="112"/>
      <c r="E78" s="205"/>
      <c r="F78" s="206"/>
      <c r="G78" s="205"/>
      <c r="H78" s="206"/>
      <c r="I78" s="205"/>
      <c r="J78" s="206"/>
      <c r="K78" s="205"/>
      <c r="L78" s="206"/>
      <c r="M78" s="205"/>
      <c r="N78" s="206"/>
    </row>
    <row r="79" spans="1:14" s="1" customFormat="1" ht="12.75">
      <c r="A79" s="112"/>
      <c r="B79" s="112"/>
      <c r="C79" s="112"/>
      <c r="D79" s="112"/>
      <c r="E79" s="205"/>
      <c r="F79" s="206"/>
      <c r="G79" s="205"/>
      <c r="H79" s="206"/>
      <c r="I79" s="205"/>
      <c r="J79" s="206"/>
      <c r="K79" s="205"/>
      <c r="L79" s="206"/>
      <c r="M79" s="205"/>
      <c r="N79" s="206"/>
    </row>
    <row r="80" spans="1:14" s="1" customFormat="1" ht="12.75">
      <c r="A80" s="112"/>
      <c r="B80" s="112"/>
      <c r="C80" s="112"/>
      <c r="D80" s="112"/>
      <c r="E80" s="205"/>
      <c r="F80" s="206"/>
      <c r="G80" s="205"/>
      <c r="H80" s="206"/>
      <c r="I80" s="205"/>
      <c r="J80" s="206"/>
      <c r="K80" s="205"/>
      <c r="L80" s="206"/>
      <c r="M80" s="205"/>
      <c r="N80" s="206"/>
    </row>
    <row r="81" spans="1:14" s="1" customFormat="1" ht="12.75">
      <c r="A81" s="112"/>
      <c r="B81" s="112"/>
      <c r="C81" s="112"/>
      <c r="D81" s="112"/>
      <c r="E81" s="205"/>
      <c r="F81" s="206"/>
      <c r="G81" s="205"/>
      <c r="H81" s="206"/>
      <c r="I81" s="205"/>
      <c r="J81" s="206"/>
      <c r="K81" s="205"/>
      <c r="L81" s="206"/>
      <c r="M81" s="205"/>
      <c r="N81" s="206"/>
    </row>
    <row r="82" spans="1:14" s="1" customFormat="1" ht="12.75">
      <c r="A82" s="112"/>
      <c r="B82" s="112"/>
      <c r="C82" s="112"/>
      <c r="D82" s="112"/>
      <c r="E82" s="205"/>
      <c r="F82" s="206"/>
      <c r="G82" s="205"/>
      <c r="H82" s="206"/>
      <c r="I82" s="205"/>
      <c r="J82" s="206"/>
      <c r="K82" s="205"/>
      <c r="L82" s="206"/>
      <c r="M82" s="205"/>
      <c r="N82" s="206"/>
    </row>
    <row r="83" spans="1:14" s="1" customFormat="1" ht="12.75">
      <c r="A83" s="112"/>
      <c r="B83" s="112"/>
      <c r="C83" s="112"/>
      <c r="D83" s="112"/>
      <c r="E83" s="205"/>
      <c r="F83" s="206"/>
      <c r="G83" s="205"/>
      <c r="H83" s="206"/>
      <c r="I83" s="205"/>
      <c r="J83" s="206"/>
      <c r="K83" s="205"/>
      <c r="L83" s="206"/>
      <c r="M83" s="205"/>
      <c r="N83" s="206"/>
    </row>
    <row r="84" spans="1:14" s="1" customFormat="1" ht="12.75">
      <c r="A84" s="112"/>
      <c r="B84" s="112"/>
      <c r="C84" s="112"/>
      <c r="D84" s="112"/>
      <c r="E84" s="205"/>
      <c r="F84" s="206"/>
      <c r="G84" s="205"/>
      <c r="H84" s="206"/>
      <c r="I84" s="205"/>
      <c r="J84" s="206"/>
      <c r="K84" s="205"/>
      <c r="L84" s="206"/>
      <c r="M84" s="205"/>
      <c r="N84" s="206"/>
    </row>
    <row r="85" spans="1:14" s="1" customFormat="1" ht="12.75">
      <c r="A85" s="112"/>
      <c r="B85" s="112"/>
      <c r="C85" s="112"/>
      <c r="D85" s="112"/>
      <c r="E85" s="205"/>
      <c r="F85" s="206"/>
      <c r="G85" s="205"/>
      <c r="H85" s="206"/>
      <c r="I85" s="205"/>
      <c r="J85" s="206"/>
      <c r="K85" s="205"/>
      <c r="L85" s="206"/>
      <c r="M85" s="205"/>
      <c r="N85" s="206"/>
    </row>
    <row r="86" spans="1:14" s="1" customFormat="1" ht="12.75">
      <c r="A86" s="112"/>
      <c r="B86" s="112"/>
      <c r="C86" s="112"/>
      <c r="D86" s="112"/>
      <c r="E86" s="205"/>
      <c r="F86" s="206"/>
      <c r="G86" s="205"/>
      <c r="H86" s="206"/>
      <c r="I86" s="205"/>
      <c r="J86" s="206"/>
      <c r="K86" s="205"/>
      <c r="L86" s="206"/>
      <c r="M86" s="205"/>
      <c r="N86" s="206"/>
    </row>
    <row r="87" spans="1:14" s="1" customFormat="1" ht="12.75">
      <c r="A87" s="112"/>
      <c r="B87" s="112"/>
      <c r="C87" s="112"/>
      <c r="D87" s="112"/>
      <c r="E87" s="205"/>
      <c r="F87" s="206"/>
      <c r="G87" s="205"/>
      <c r="H87" s="206"/>
      <c r="I87" s="205"/>
      <c r="J87" s="206"/>
      <c r="K87" s="205"/>
      <c r="L87" s="206"/>
      <c r="M87" s="205"/>
      <c r="N87" s="206"/>
    </row>
    <row r="88" spans="1:14" s="1" customFormat="1" ht="12.75">
      <c r="A88" s="112"/>
      <c r="B88" s="112"/>
      <c r="C88" s="112"/>
      <c r="D88" s="112"/>
      <c r="E88" s="205"/>
      <c r="F88" s="206"/>
      <c r="G88" s="205"/>
      <c r="H88" s="206"/>
      <c r="I88" s="205"/>
      <c r="J88" s="206"/>
      <c r="K88" s="205"/>
      <c r="L88" s="206"/>
      <c r="M88" s="205"/>
      <c r="N88" s="206"/>
    </row>
    <row r="89" spans="1:14" s="1" customFormat="1" ht="12.75">
      <c r="A89" s="112"/>
      <c r="B89" s="112"/>
      <c r="C89" s="112"/>
      <c r="D89" s="112"/>
      <c r="E89" s="205"/>
      <c r="F89" s="206"/>
      <c r="G89" s="205"/>
      <c r="H89" s="206"/>
      <c r="I89" s="205"/>
      <c r="J89" s="206"/>
      <c r="K89" s="205"/>
      <c r="L89" s="206"/>
      <c r="M89" s="205"/>
      <c r="N89" s="206"/>
    </row>
    <row r="90" spans="1:14" s="1" customFormat="1" ht="12.75">
      <c r="A90" s="112"/>
      <c r="B90" s="112"/>
      <c r="C90" s="112"/>
      <c r="D90" s="112"/>
      <c r="E90" s="205"/>
      <c r="F90" s="206"/>
      <c r="G90" s="205"/>
      <c r="H90" s="206"/>
      <c r="I90" s="205"/>
      <c r="J90" s="206"/>
      <c r="K90" s="205"/>
      <c r="L90" s="206"/>
      <c r="M90" s="205"/>
      <c r="N90" s="206"/>
    </row>
    <row r="91" spans="1:14" s="1" customFormat="1" ht="12.75">
      <c r="A91" s="112"/>
      <c r="B91" s="112"/>
      <c r="C91" s="112"/>
      <c r="D91" s="112"/>
      <c r="E91" s="205"/>
      <c r="F91" s="206"/>
      <c r="G91" s="205"/>
      <c r="H91" s="206"/>
      <c r="I91" s="205"/>
      <c r="J91" s="206"/>
      <c r="K91" s="205"/>
      <c r="L91" s="206"/>
      <c r="M91" s="205"/>
      <c r="N91" s="206"/>
    </row>
    <row r="92" spans="1:14" s="1" customFormat="1" ht="12.75">
      <c r="A92" s="112"/>
      <c r="B92" s="112"/>
      <c r="C92" s="112"/>
      <c r="D92" s="112"/>
      <c r="E92" s="205"/>
      <c r="F92" s="206"/>
      <c r="G92" s="205"/>
      <c r="H92" s="206"/>
      <c r="I92" s="205"/>
      <c r="J92" s="206"/>
      <c r="K92" s="205"/>
      <c r="L92" s="206"/>
      <c r="M92" s="205"/>
      <c r="N92" s="206"/>
    </row>
    <row r="93" spans="1:14" s="1" customFormat="1" ht="12.75">
      <c r="A93" s="112"/>
      <c r="B93" s="112"/>
      <c r="C93" s="112"/>
      <c r="D93" s="112"/>
      <c r="E93" s="205"/>
      <c r="F93" s="206"/>
      <c r="G93" s="205"/>
      <c r="H93" s="206"/>
      <c r="I93" s="205"/>
      <c r="J93" s="206"/>
      <c r="K93" s="205"/>
      <c r="L93" s="206"/>
      <c r="M93" s="205"/>
      <c r="N93" s="206"/>
    </row>
    <row r="94" spans="1:14" s="1" customFormat="1" ht="12.75">
      <c r="A94" s="112"/>
      <c r="B94" s="112"/>
      <c r="C94" s="112"/>
      <c r="D94" s="112"/>
      <c r="E94" s="205"/>
      <c r="F94" s="206"/>
      <c r="G94" s="205"/>
      <c r="H94" s="206"/>
      <c r="I94" s="205"/>
      <c r="J94" s="206"/>
      <c r="K94" s="205"/>
      <c r="L94" s="206"/>
      <c r="M94" s="205"/>
      <c r="N94" s="206"/>
    </row>
    <row r="95" spans="1:14" s="1" customFormat="1" ht="12.75">
      <c r="A95" s="112"/>
      <c r="B95" s="112"/>
      <c r="C95" s="112"/>
      <c r="D95" s="112"/>
      <c r="E95" s="205"/>
      <c r="F95" s="206"/>
      <c r="G95" s="205"/>
      <c r="H95" s="206"/>
      <c r="I95" s="205"/>
      <c r="J95" s="206"/>
      <c r="K95" s="205"/>
      <c r="L95" s="206"/>
      <c r="M95" s="205"/>
      <c r="N95" s="206"/>
    </row>
    <row r="96" spans="1:14" s="1" customFormat="1" ht="12.75">
      <c r="A96" s="112"/>
      <c r="B96" s="112"/>
      <c r="C96" s="112"/>
      <c r="D96" s="112"/>
      <c r="E96" s="205"/>
      <c r="F96" s="206"/>
      <c r="G96" s="205"/>
      <c r="H96" s="206"/>
      <c r="I96" s="205"/>
      <c r="J96" s="206"/>
      <c r="K96" s="205"/>
      <c r="L96" s="206"/>
      <c r="M96" s="205"/>
      <c r="N96" s="206"/>
    </row>
    <row r="97" spans="1:14" s="1" customFormat="1" ht="12.75">
      <c r="A97" s="112"/>
      <c r="B97" s="112"/>
      <c r="C97" s="112"/>
      <c r="D97" s="112"/>
      <c r="E97" s="205"/>
      <c r="F97" s="206"/>
      <c r="G97" s="205"/>
      <c r="H97" s="206"/>
      <c r="I97" s="205"/>
      <c r="J97" s="206"/>
      <c r="K97" s="205"/>
      <c r="L97" s="206"/>
      <c r="M97" s="205"/>
      <c r="N97" s="206"/>
    </row>
    <row r="98" spans="1:14" s="1" customFormat="1" ht="12.75">
      <c r="A98" s="112"/>
      <c r="B98" s="112"/>
      <c r="C98" s="112"/>
      <c r="D98" s="112"/>
      <c r="E98" s="205"/>
      <c r="F98" s="206"/>
      <c r="G98" s="205"/>
      <c r="H98" s="206"/>
      <c r="I98" s="205"/>
      <c r="J98" s="206"/>
      <c r="K98" s="205"/>
      <c r="L98" s="206"/>
      <c r="M98" s="205"/>
      <c r="N98" s="206"/>
    </row>
    <row r="99" spans="1:14" s="1" customFormat="1" ht="12.75">
      <c r="A99" s="112"/>
      <c r="B99" s="112"/>
      <c r="C99" s="112"/>
      <c r="D99" s="112"/>
      <c r="E99" s="205"/>
      <c r="F99" s="206"/>
      <c r="G99" s="205"/>
      <c r="H99" s="206"/>
      <c r="I99" s="205"/>
      <c r="J99" s="206"/>
      <c r="K99" s="205"/>
      <c r="L99" s="206"/>
      <c r="M99" s="205"/>
      <c r="N99" s="206"/>
    </row>
    <row r="100" spans="1:14" s="1" customFormat="1" ht="12.75">
      <c r="A100" s="112"/>
      <c r="B100" s="112"/>
      <c r="C100" s="112"/>
      <c r="D100" s="112"/>
      <c r="E100" s="205"/>
      <c r="F100" s="206"/>
      <c r="G100" s="205"/>
      <c r="H100" s="206"/>
      <c r="I100" s="205"/>
      <c r="J100" s="206"/>
      <c r="K100" s="205"/>
      <c r="L100" s="206"/>
      <c r="M100" s="205"/>
      <c r="N100" s="206"/>
    </row>
    <row r="101" spans="1:14" s="1" customFormat="1" ht="12.75">
      <c r="A101" s="112"/>
      <c r="B101" s="112"/>
      <c r="C101" s="112"/>
      <c r="D101" s="112"/>
      <c r="E101" s="205"/>
      <c r="F101" s="206"/>
      <c r="G101" s="205"/>
      <c r="H101" s="206"/>
      <c r="I101" s="205"/>
      <c r="J101" s="206"/>
      <c r="K101" s="205"/>
      <c r="L101" s="206"/>
      <c r="M101" s="205"/>
      <c r="N101" s="206"/>
    </row>
    <row r="102" spans="1:14" s="1" customFormat="1" ht="12.75">
      <c r="A102" s="112"/>
      <c r="B102" s="112"/>
      <c r="C102" s="112"/>
      <c r="D102" s="112"/>
      <c r="E102" s="205"/>
      <c r="F102" s="206"/>
      <c r="G102" s="205"/>
      <c r="H102" s="206"/>
      <c r="I102" s="205"/>
      <c r="J102" s="206"/>
      <c r="K102" s="205"/>
      <c r="L102" s="206"/>
      <c r="M102" s="205"/>
      <c r="N102" s="206"/>
    </row>
    <row r="103" spans="1:14" s="1" customFormat="1" ht="12.75">
      <c r="A103" s="112"/>
      <c r="B103" s="112"/>
      <c r="C103" s="112"/>
      <c r="D103" s="112"/>
      <c r="E103" s="205"/>
      <c r="F103" s="206"/>
      <c r="G103" s="205"/>
      <c r="H103" s="206"/>
      <c r="I103" s="205"/>
      <c r="J103" s="206"/>
      <c r="K103" s="205"/>
      <c r="L103" s="206"/>
      <c r="M103" s="205"/>
      <c r="N103" s="206"/>
    </row>
    <row r="104" spans="1:14" s="1" customFormat="1" ht="12.75">
      <c r="A104" s="112"/>
      <c r="B104" s="112"/>
      <c r="C104" s="112"/>
      <c r="D104" s="112"/>
      <c r="E104" s="205"/>
      <c r="F104" s="206"/>
      <c r="G104" s="205"/>
      <c r="H104" s="206"/>
      <c r="I104" s="205"/>
      <c r="J104" s="206"/>
      <c r="K104" s="205"/>
      <c r="L104" s="206"/>
      <c r="M104" s="205"/>
      <c r="N104" s="206"/>
    </row>
    <row r="105" spans="1:14" s="1" customFormat="1" ht="12.75">
      <c r="A105" s="112"/>
      <c r="B105" s="112"/>
      <c r="C105" s="112"/>
      <c r="D105" s="112"/>
      <c r="E105" s="205"/>
      <c r="F105" s="206"/>
      <c r="G105" s="205"/>
      <c r="H105" s="206"/>
      <c r="I105" s="205"/>
      <c r="J105" s="206"/>
      <c r="K105" s="205"/>
      <c r="L105" s="206"/>
      <c r="M105" s="205"/>
      <c r="N105" s="206"/>
    </row>
    <row r="106" spans="1:14" s="1" customFormat="1" ht="12.75">
      <c r="A106" s="112"/>
      <c r="B106" s="112"/>
      <c r="C106" s="112"/>
      <c r="D106" s="112"/>
      <c r="E106" s="205"/>
      <c r="F106" s="206"/>
      <c r="G106" s="205"/>
      <c r="H106" s="206"/>
      <c r="I106" s="205"/>
      <c r="J106" s="206"/>
      <c r="K106" s="205"/>
      <c r="L106" s="206"/>
      <c r="M106" s="205"/>
      <c r="N106" s="206"/>
    </row>
    <row r="107" spans="1:14" s="1" customFormat="1" ht="12.75">
      <c r="A107" s="112"/>
      <c r="B107" s="112"/>
      <c r="C107" s="112"/>
      <c r="D107" s="112"/>
      <c r="E107" s="205"/>
      <c r="F107" s="206"/>
      <c r="G107" s="205"/>
      <c r="H107" s="206"/>
      <c r="I107" s="205"/>
      <c r="J107" s="206"/>
      <c r="K107" s="205"/>
      <c r="L107" s="206"/>
      <c r="M107" s="205"/>
      <c r="N107" s="206"/>
    </row>
    <row r="108" spans="1:14" s="1" customFormat="1" ht="12.75">
      <c r="A108" s="112"/>
      <c r="B108" s="112"/>
      <c r="C108" s="112"/>
      <c r="D108" s="112"/>
      <c r="E108" s="205"/>
      <c r="F108" s="206"/>
      <c r="G108" s="205"/>
      <c r="H108" s="206"/>
      <c r="I108" s="205"/>
      <c r="J108" s="206"/>
      <c r="K108" s="205"/>
      <c r="L108" s="206"/>
      <c r="M108" s="205"/>
      <c r="N108" s="206"/>
    </row>
    <row r="109" spans="1:14" s="1" customFormat="1" ht="12.75">
      <c r="A109" s="112"/>
      <c r="B109" s="112"/>
      <c r="C109" s="112"/>
      <c r="D109" s="112"/>
      <c r="E109" s="205"/>
      <c r="F109" s="206"/>
      <c r="G109" s="205"/>
      <c r="H109" s="206"/>
      <c r="I109" s="205"/>
      <c r="J109" s="206"/>
      <c r="K109" s="205"/>
      <c r="L109" s="206"/>
      <c r="M109" s="205"/>
      <c r="N109" s="206"/>
    </row>
    <row r="110" spans="1:14" s="1" customFormat="1" ht="12.75">
      <c r="A110" s="112"/>
      <c r="B110" s="112"/>
      <c r="C110" s="112"/>
      <c r="D110" s="112"/>
      <c r="E110" s="205"/>
      <c r="F110" s="206"/>
      <c r="G110" s="205"/>
      <c r="H110" s="206"/>
      <c r="I110" s="205"/>
      <c r="J110" s="206"/>
      <c r="K110" s="205"/>
      <c r="L110" s="206"/>
      <c r="M110" s="205"/>
      <c r="N110" s="206"/>
    </row>
    <row r="111" spans="1:14" s="1" customFormat="1" ht="12.75">
      <c r="A111" s="112"/>
      <c r="B111" s="112"/>
      <c r="C111" s="112"/>
      <c r="D111" s="112"/>
      <c r="E111" s="205"/>
      <c r="F111" s="206"/>
      <c r="G111" s="205"/>
      <c r="H111" s="206"/>
      <c r="I111" s="205"/>
      <c r="J111" s="206"/>
      <c r="K111" s="205"/>
      <c r="L111" s="206"/>
      <c r="M111" s="205"/>
      <c r="N111" s="206"/>
    </row>
    <row r="112" spans="1:14" s="1" customFormat="1" ht="12.75">
      <c r="A112" s="112"/>
      <c r="B112" s="112"/>
      <c r="C112" s="112"/>
      <c r="D112" s="112"/>
      <c r="E112" s="205"/>
      <c r="F112" s="206"/>
      <c r="G112" s="205"/>
      <c r="H112" s="206"/>
      <c r="I112" s="205"/>
      <c r="J112" s="206"/>
      <c r="K112" s="205"/>
      <c r="L112" s="206"/>
      <c r="M112" s="205"/>
      <c r="N112" s="206"/>
    </row>
    <row r="113" spans="1:14" s="1" customFormat="1" ht="12.75">
      <c r="A113" s="112"/>
      <c r="B113" s="112"/>
      <c r="C113" s="112"/>
      <c r="D113" s="112"/>
      <c r="E113" s="205"/>
      <c r="F113" s="206"/>
      <c r="G113" s="205"/>
      <c r="H113" s="206"/>
      <c r="I113" s="205"/>
      <c r="J113" s="206"/>
      <c r="K113" s="205"/>
      <c r="L113" s="206"/>
      <c r="M113" s="205"/>
      <c r="N113" s="206"/>
    </row>
    <row r="114" spans="1:14" s="1" customFormat="1" ht="12.75">
      <c r="A114" s="112"/>
      <c r="B114" s="112"/>
      <c r="C114" s="112"/>
      <c r="D114" s="112"/>
      <c r="E114" s="205"/>
      <c r="F114" s="206"/>
      <c r="G114" s="205"/>
      <c r="H114" s="206"/>
      <c r="I114" s="205"/>
      <c r="J114" s="206"/>
      <c r="K114" s="205"/>
      <c r="L114" s="206"/>
      <c r="M114" s="205"/>
      <c r="N114" s="206"/>
    </row>
    <row r="115" spans="1:14" s="1" customFormat="1" ht="12.75">
      <c r="A115" s="112"/>
      <c r="B115" s="112"/>
      <c r="C115" s="112"/>
      <c r="D115" s="112"/>
      <c r="E115" s="205"/>
      <c r="F115" s="206"/>
      <c r="G115" s="205"/>
      <c r="H115" s="206"/>
      <c r="I115" s="205"/>
      <c r="J115" s="206"/>
      <c r="K115" s="205"/>
      <c r="L115" s="206"/>
      <c r="M115" s="205"/>
      <c r="N115" s="206"/>
    </row>
    <row r="116" spans="1:14" s="1" customFormat="1" ht="12.75">
      <c r="A116" s="112"/>
      <c r="B116" s="112"/>
      <c r="C116" s="112"/>
      <c r="D116" s="112"/>
      <c r="E116" s="205"/>
      <c r="F116" s="206"/>
      <c r="G116" s="205"/>
      <c r="H116" s="206"/>
      <c r="I116" s="205"/>
      <c r="J116" s="206"/>
      <c r="K116" s="205"/>
      <c r="L116" s="206"/>
      <c r="M116" s="205"/>
      <c r="N116" s="206"/>
    </row>
    <row r="117" spans="1:14" s="1" customFormat="1" ht="12.75">
      <c r="A117" s="112"/>
      <c r="B117" s="112"/>
      <c r="C117" s="112"/>
      <c r="D117" s="112"/>
      <c r="E117" s="205"/>
      <c r="F117" s="206"/>
      <c r="G117" s="205"/>
      <c r="H117" s="206"/>
      <c r="I117" s="205"/>
      <c r="J117" s="206"/>
      <c r="K117" s="205"/>
      <c r="L117" s="206"/>
      <c r="M117" s="205"/>
      <c r="N117" s="206"/>
    </row>
    <row r="118" spans="1:14" s="1" customFormat="1" ht="12.75">
      <c r="A118" s="112"/>
      <c r="B118" s="112"/>
      <c r="C118" s="112"/>
      <c r="D118" s="112"/>
      <c r="E118" s="205"/>
      <c r="F118" s="206"/>
      <c r="G118" s="205"/>
      <c r="H118" s="206"/>
      <c r="I118" s="205"/>
      <c r="J118" s="206"/>
      <c r="K118" s="205"/>
      <c r="L118" s="206"/>
      <c r="M118" s="205"/>
      <c r="N118" s="206"/>
    </row>
    <row r="119" spans="1:14" s="1" customFormat="1" ht="12.75">
      <c r="A119" s="112"/>
      <c r="B119" s="112"/>
      <c r="C119" s="112"/>
      <c r="D119" s="112"/>
      <c r="E119" s="205"/>
      <c r="F119" s="206"/>
      <c r="G119" s="205"/>
      <c r="H119" s="206"/>
      <c r="I119" s="205"/>
      <c r="J119" s="206"/>
      <c r="K119" s="205"/>
      <c r="L119" s="206"/>
      <c r="M119" s="205"/>
      <c r="N119" s="206"/>
    </row>
    <row r="120" spans="1:14" s="1" customFormat="1" ht="12.75">
      <c r="A120" s="112"/>
      <c r="B120" s="112"/>
      <c r="C120" s="112"/>
      <c r="D120" s="112"/>
      <c r="E120" s="205"/>
      <c r="F120" s="206"/>
      <c r="G120" s="205"/>
      <c r="H120" s="206"/>
      <c r="I120" s="205"/>
      <c r="J120" s="206"/>
      <c r="K120" s="205"/>
      <c r="L120" s="206"/>
      <c r="M120" s="205"/>
      <c r="N120" s="206"/>
    </row>
    <row r="121" spans="1:14" s="1" customFormat="1" ht="12.75">
      <c r="A121" s="112"/>
      <c r="B121" s="112"/>
      <c r="C121" s="112"/>
      <c r="D121" s="112"/>
      <c r="E121" s="205"/>
      <c r="F121" s="206"/>
      <c r="G121" s="205"/>
      <c r="H121" s="206"/>
      <c r="I121" s="205"/>
      <c r="J121" s="206"/>
      <c r="K121" s="205"/>
      <c r="L121" s="206"/>
      <c r="M121" s="205"/>
      <c r="N121" s="206"/>
    </row>
    <row r="122" spans="1:14" s="1" customFormat="1" ht="12.75">
      <c r="A122" s="112"/>
      <c r="B122" s="112"/>
      <c r="C122" s="112"/>
      <c r="D122" s="112"/>
      <c r="E122" s="205"/>
      <c r="F122" s="206"/>
      <c r="G122" s="205"/>
      <c r="H122" s="206"/>
      <c r="I122" s="205"/>
      <c r="J122" s="206"/>
      <c r="K122" s="205"/>
      <c r="L122" s="206"/>
      <c r="M122" s="205"/>
      <c r="N122" s="206"/>
    </row>
    <row r="123" spans="1:14" s="1" customFormat="1" ht="12.75">
      <c r="A123" s="112"/>
      <c r="B123" s="112"/>
      <c r="C123" s="112"/>
      <c r="D123" s="112"/>
      <c r="E123" s="205"/>
      <c r="F123" s="206"/>
      <c r="G123" s="205"/>
      <c r="H123" s="206"/>
      <c r="I123" s="205"/>
      <c r="J123" s="206"/>
      <c r="K123" s="205"/>
      <c r="L123" s="206"/>
      <c r="M123" s="205"/>
      <c r="N123" s="206"/>
    </row>
    <row r="124" spans="1:14" s="1" customFormat="1" ht="12.75">
      <c r="A124" s="112"/>
      <c r="B124" s="112"/>
      <c r="C124" s="112"/>
      <c r="D124" s="112"/>
      <c r="E124" s="205"/>
      <c r="F124" s="206"/>
      <c r="G124" s="205"/>
      <c r="H124" s="206"/>
      <c r="I124" s="205"/>
      <c r="J124" s="206"/>
      <c r="K124" s="205"/>
      <c r="L124" s="206"/>
      <c r="M124" s="205"/>
      <c r="N124" s="206"/>
    </row>
    <row r="125" spans="1:14" s="1" customFormat="1" ht="12.75">
      <c r="A125" s="112"/>
      <c r="B125" s="112"/>
      <c r="C125" s="112"/>
      <c r="D125" s="112"/>
      <c r="E125" s="205"/>
      <c r="F125" s="206"/>
      <c r="G125" s="205"/>
      <c r="H125" s="206"/>
      <c r="I125" s="205"/>
      <c r="J125" s="206"/>
      <c r="K125" s="205"/>
      <c r="L125" s="206"/>
      <c r="M125" s="205"/>
      <c r="N125" s="206"/>
    </row>
    <row r="126" spans="1:14" s="1" customFormat="1" ht="12.75">
      <c r="A126" s="112"/>
      <c r="B126" s="112"/>
      <c r="C126" s="112"/>
      <c r="D126" s="112"/>
      <c r="E126" s="205"/>
      <c r="F126" s="206"/>
      <c r="G126" s="205"/>
      <c r="H126" s="206"/>
      <c r="I126" s="205"/>
      <c r="J126" s="206"/>
      <c r="K126" s="205"/>
      <c r="L126" s="206"/>
      <c r="M126" s="205"/>
      <c r="N126" s="206"/>
    </row>
    <row r="127" spans="1:14" s="1" customFormat="1" ht="12.75">
      <c r="A127" s="112"/>
      <c r="B127" s="112"/>
      <c r="C127" s="112"/>
      <c r="D127" s="112"/>
      <c r="E127" s="205"/>
      <c r="F127" s="206"/>
      <c r="G127" s="205"/>
      <c r="H127" s="206"/>
      <c r="I127" s="205"/>
      <c r="J127" s="206"/>
      <c r="K127" s="205"/>
      <c r="L127" s="206"/>
      <c r="M127" s="205"/>
      <c r="N127" s="206"/>
    </row>
    <row r="128" spans="1:14" s="1" customFormat="1" ht="12.75">
      <c r="A128" s="112"/>
      <c r="B128" s="112"/>
      <c r="C128" s="112"/>
      <c r="D128" s="112"/>
      <c r="E128" s="205"/>
      <c r="F128" s="206"/>
      <c r="G128" s="205"/>
      <c r="H128" s="206"/>
      <c r="I128" s="205"/>
      <c r="J128" s="206"/>
      <c r="K128" s="205"/>
      <c r="L128" s="206"/>
      <c r="M128" s="205"/>
      <c r="N128" s="206"/>
    </row>
    <row r="129" spans="1:14" s="1" customFormat="1" ht="12.75">
      <c r="A129" s="112"/>
      <c r="B129" s="112"/>
      <c r="C129" s="112"/>
      <c r="D129" s="112"/>
      <c r="E129" s="205"/>
      <c r="F129" s="206"/>
      <c r="G129" s="205"/>
      <c r="H129" s="206"/>
      <c r="I129" s="205"/>
      <c r="J129" s="206"/>
      <c r="K129" s="205"/>
      <c r="L129" s="206"/>
      <c r="M129" s="205"/>
      <c r="N129" s="206"/>
    </row>
    <row r="130" spans="1:14" s="1" customFormat="1" ht="12.75">
      <c r="A130" s="112"/>
      <c r="B130" s="112"/>
      <c r="C130" s="112"/>
      <c r="D130" s="112"/>
      <c r="E130" s="205"/>
      <c r="F130" s="206"/>
      <c r="G130" s="205"/>
      <c r="H130" s="206"/>
      <c r="I130" s="205"/>
      <c r="J130" s="206"/>
      <c r="K130" s="205"/>
      <c r="L130" s="206"/>
      <c r="M130" s="205"/>
      <c r="N130" s="206"/>
    </row>
    <row r="131" spans="1:14" s="1" customFormat="1" ht="12.75">
      <c r="A131" s="112"/>
      <c r="B131" s="112"/>
      <c r="C131" s="112"/>
      <c r="D131" s="112"/>
      <c r="E131" s="205"/>
      <c r="F131" s="206"/>
      <c r="G131" s="205"/>
      <c r="H131" s="206"/>
      <c r="I131" s="205"/>
      <c r="J131" s="206"/>
      <c r="K131" s="205"/>
      <c r="L131" s="206"/>
      <c r="M131" s="205"/>
      <c r="N131" s="206"/>
    </row>
    <row r="132" spans="1:14" s="1" customFormat="1" ht="12.75">
      <c r="A132" s="112"/>
      <c r="B132" s="112"/>
      <c r="C132" s="112"/>
      <c r="D132" s="112"/>
      <c r="E132" s="205"/>
      <c r="F132" s="206"/>
      <c r="G132" s="205"/>
      <c r="H132" s="206"/>
      <c r="I132" s="205"/>
      <c r="J132" s="206"/>
      <c r="K132" s="205"/>
      <c r="L132" s="206"/>
      <c r="M132" s="205"/>
      <c r="N132" s="206"/>
    </row>
    <row r="133" spans="1:14" s="1" customFormat="1" ht="12.75">
      <c r="A133" s="112"/>
      <c r="B133" s="112"/>
      <c r="C133" s="112"/>
      <c r="D133" s="112"/>
      <c r="E133" s="205"/>
      <c r="F133" s="206"/>
      <c r="G133" s="205"/>
      <c r="H133" s="206"/>
      <c r="I133" s="205"/>
      <c r="J133" s="206"/>
      <c r="K133" s="205"/>
      <c r="L133" s="206"/>
      <c r="M133" s="205"/>
      <c r="N133" s="206"/>
    </row>
    <row r="134" spans="1:14" s="1" customFormat="1" ht="12.75">
      <c r="A134" s="112"/>
      <c r="B134" s="112"/>
      <c r="C134" s="112"/>
      <c r="D134" s="112"/>
      <c r="E134" s="205"/>
      <c r="F134" s="206"/>
      <c r="G134" s="205"/>
      <c r="H134" s="206"/>
      <c r="I134" s="205"/>
      <c r="J134" s="206"/>
      <c r="K134" s="205"/>
      <c r="L134" s="206"/>
      <c r="M134" s="205"/>
      <c r="N134" s="206"/>
    </row>
    <row r="135" spans="1:14" s="1" customFormat="1" ht="12.75">
      <c r="A135" s="112"/>
      <c r="B135" s="112"/>
      <c r="C135" s="112"/>
      <c r="D135" s="112"/>
      <c r="E135" s="205"/>
      <c r="F135" s="206"/>
      <c r="G135" s="205"/>
      <c r="H135" s="206"/>
      <c r="I135" s="205"/>
      <c r="J135" s="206"/>
      <c r="K135" s="205"/>
      <c r="L135" s="206"/>
      <c r="M135" s="205"/>
      <c r="N135" s="206"/>
    </row>
    <row r="136" spans="1:14" s="1" customFormat="1" ht="12.75">
      <c r="A136" s="112"/>
      <c r="B136" s="112"/>
      <c r="C136" s="112"/>
      <c r="D136" s="112"/>
      <c r="E136" s="205"/>
      <c r="F136" s="206"/>
      <c r="G136" s="205"/>
      <c r="H136" s="206"/>
      <c r="I136" s="205"/>
      <c r="J136" s="206"/>
      <c r="K136" s="205"/>
      <c r="L136" s="206"/>
      <c r="M136" s="205"/>
      <c r="N136" s="206"/>
    </row>
    <row r="137" spans="1:14" s="1" customFormat="1" ht="12.75">
      <c r="A137" s="112"/>
      <c r="B137" s="112"/>
      <c r="C137" s="112"/>
      <c r="D137" s="112"/>
      <c r="E137" s="205"/>
      <c r="F137" s="206"/>
      <c r="G137" s="205"/>
      <c r="H137" s="206"/>
      <c r="I137" s="205"/>
      <c r="J137" s="206"/>
      <c r="K137" s="205"/>
      <c r="L137" s="206"/>
      <c r="M137" s="205"/>
      <c r="N137" s="206"/>
    </row>
    <row r="138" spans="1:14" s="1" customFormat="1" ht="12.75">
      <c r="A138" s="112"/>
      <c r="B138" s="112"/>
      <c r="C138" s="112"/>
      <c r="D138" s="112"/>
      <c r="E138" s="205"/>
      <c r="F138" s="206"/>
      <c r="G138" s="205"/>
      <c r="H138" s="206"/>
      <c r="I138" s="205"/>
      <c r="J138" s="206"/>
      <c r="K138" s="205"/>
      <c r="L138" s="206"/>
      <c r="M138" s="205"/>
      <c r="N138" s="206"/>
    </row>
    <row r="139" spans="1:14" s="1" customFormat="1" ht="12.75">
      <c r="A139" s="112"/>
      <c r="B139" s="112"/>
      <c r="C139" s="112"/>
      <c r="D139" s="112"/>
      <c r="E139" s="205"/>
      <c r="F139" s="206"/>
      <c r="G139" s="205"/>
      <c r="H139" s="206"/>
      <c r="I139" s="205"/>
      <c r="J139" s="206"/>
      <c r="K139" s="205"/>
      <c r="L139" s="206"/>
      <c r="M139" s="205"/>
      <c r="N139" s="206"/>
    </row>
    <row r="140" spans="1:14" s="1" customFormat="1" ht="12.75">
      <c r="A140" s="112"/>
      <c r="B140" s="112"/>
      <c r="C140" s="112"/>
      <c r="D140" s="112"/>
      <c r="E140" s="205"/>
      <c r="F140" s="206"/>
      <c r="G140" s="205"/>
      <c r="H140" s="206"/>
      <c r="I140" s="205"/>
      <c r="J140" s="206"/>
      <c r="K140" s="205"/>
      <c r="L140" s="206"/>
      <c r="M140" s="205"/>
      <c r="N140" s="206"/>
    </row>
    <row r="141" spans="1:14" s="1" customFormat="1" ht="12.75">
      <c r="A141" s="112"/>
      <c r="B141" s="112"/>
      <c r="C141" s="112"/>
      <c r="D141" s="112"/>
      <c r="E141" s="205"/>
      <c r="F141" s="206"/>
      <c r="G141" s="205"/>
      <c r="H141" s="206"/>
      <c r="I141" s="205"/>
      <c r="J141" s="206"/>
      <c r="K141" s="205"/>
      <c r="L141" s="206"/>
      <c r="M141" s="205"/>
      <c r="N141" s="206"/>
    </row>
    <row r="142" spans="1:14" s="1" customFormat="1" ht="12.75">
      <c r="A142" s="112"/>
      <c r="B142" s="112"/>
      <c r="C142" s="112"/>
      <c r="D142" s="112"/>
      <c r="E142" s="205"/>
      <c r="F142" s="206"/>
      <c r="G142" s="205"/>
      <c r="H142" s="206"/>
      <c r="I142" s="205"/>
      <c r="J142" s="206"/>
      <c r="K142" s="205"/>
      <c r="L142" s="206"/>
      <c r="M142" s="205"/>
      <c r="N142" s="206"/>
    </row>
    <row r="143" spans="1:14" s="1" customFormat="1" ht="12.75">
      <c r="A143" s="112"/>
      <c r="B143" s="112"/>
      <c r="C143" s="112"/>
      <c r="D143" s="112"/>
      <c r="E143" s="205"/>
      <c r="F143" s="206"/>
      <c r="G143" s="205"/>
      <c r="H143" s="206"/>
      <c r="I143" s="205"/>
      <c r="J143" s="206"/>
      <c r="K143" s="205"/>
      <c r="L143" s="206"/>
      <c r="M143" s="205"/>
      <c r="N143" s="206"/>
    </row>
    <row r="144" spans="1:14" s="1" customFormat="1" ht="12.75">
      <c r="A144" s="112"/>
      <c r="B144" s="112"/>
      <c r="C144" s="112"/>
      <c r="D144" s="112"/>
      <c r="E144" s="205"/>
      <c r="F144" s="206"/>
      <c r="G144" s="205"/>
      <c r="H144" s="206"/>
      <c r="I144" s="205"/>
      <c r="J144" s="206"/>
      <c r="K144" s="205"/>
      <c r="L144" s="206"/>
      <c r="M144" s="205"/>
      <c r="N144" s="206"/>
    </row>
    <row r="145" spans="1:14" s="1" customFormat="1" ht="12.75">
      <c r="A145" s="112"/>
      <c r="B145" s="112"/>
      <c r="C145" s="112"/>
      <c r="D145" s="112"/>
      <c r="E145" s="205"/>
      <c r="F145" s="206"/>
      <c r="G145" s="205"/>
      <c r="H145" s="206"/>
      <c r="I145" s="205"/>
      <c r="J145" s="206"/>
      <c r="K145" s="205"/>
      <c r="L145" s="206"/>
      <c r="M145" s="205"/>
      <c r="N145" s="206"/>
    </row>
    <row r="146" spans="1:14" s="1" customFormat="1" ht="12.75">
      <c r="A146" s="112"/>
      <c r="B146" s="112"/>
      <c r="C146" s="112"/>
      <c r="D146" s="112"/>
      <c r="E146" s="205"/>
      <c r="F146" s="206"/>
      <c r="G146" s="205"/>
      <c r="H146" s="206"/>
      <c r="I146" s="205"/>
      <c r="J146" s="206"/>
      <c r="K146" s="205"/>
      <c r="L146" s="206"/>
      <c r="M146" s="205"/>
      <c r="N146" s="206"/>
    </row>
    <row r="147" spans="1:14" s="1" customFormat="1" ht="12.75">
      <c r="A147" s="112"/>
      <c r="B147" s="112"/>
      <c r="C147" s="112"/>
      <c r="D147" s="112"/>
      <c r="E147" s="205"/>
      <c r="F147" s="206"/>
      <c r="G147" s="205"/>
      <c r="H147" s="206"/>
      <c r="I147" s="205"/>
      <c r="J147" s="206"/>
      <c r="K147" s="205"/>
      <c r="L147" s="206"/>
      <c r="M147" s="205"/>
      <c r="N147" s="206"/>
    </row>
    <row r="148" spans="1:14" s="1" customFormat="1" ht="12.75">
      <c r="A148" s="112"/>
      <c r="B148" s="112"/>
      <c r="C148" s="112"/>
      <c r="D148" s="112"/>
      <c r="E148" s="205"/>
      <c r="F148" s="206"/>
      <c r="G148" s="205"/>
      <c r="H148" s="206"/>
      <c r="I148" s="205"/>
      <c r="J148" s="206"/>
      <c r="K148" s="205"/>
      <c r="L148" s="206"/>
      <c r="M148" s="205"/>
      <c r="N148" s="206"/>
    </row>
    <row r="149" spans="1:14" s="1" customFormat="1" ht="12.75">
      <c r="A149" s="112"/>
      <c r="B149" s="112"/>
      <c r="C149" s="112"/>
      <c r="D149" s="112"/>
      <c r="E149" s="205"/>
      <c r="F149" s="206"/>
      <c r="G149" s="205"/>
      <c r="H149" s="206"/>
      <c r="I149" s="205"/>
      <c r="J149" s="206"/>
      <c r="K149" s="205"/>
      <c r="L149" s="206"/>
      <c r="M149" s="205"/>
      <c r="N149" s="206"/>
    </row>
    <row r="150" spans="1:14" s="1" customFormat="1" ht="12.75">
      <c r="A150" s="112"/>
      <c r="B150" s="112"/>
      <c r="C150" s="112"/>
      <c r="D150" s="112"/>
      <c r="E150" s="205"/>
      <c r="F150" s="206"/>
      <c r="G150" s="205"/>
      <c r="H150" s="206"/>
      <c r="I150" s="205"/>
      <c r="J150" s="206"/>
      <c r="K150" s="205"/>
      <c r="L150" s="206"/>
      <c r="M150" s="205"/>
      <c r="N150" s="206"/>
    </row>
    <row r="151" spans="1:14" s="1" customFormat="1" ht="12.75">
      <c r="A151" s="112"/>
      <c r="B151" s="112"/>
      <c r="C151" s="112"/>
      <c r="D151" s="112"/>
      <c r="E151" s="205"/>
      <c r="F151" s="206"/>
      <c r="G151" s="205"/>
      <c r="H151" s="206"/>
      <c r="I151" s="205"/>
      <c r="J151" s="206"/>
      <c r="K151" s="205"/>
      <c r="L151" s="206"/>
      <c r="M151" s="205"/>
      <c r="N151" s="206"/>
    </row>
    <row r="152" spans="1:14" s="1" customFormat="1" ht="12.75">
      <c r="A152" s="112"/>
      <c r="B152" s="112"/>
      <c r="C152" s="112"/>
      <c r="D152" s="112"/>
      <c r="E152" s="205"/>
      <c r="F152" s="206"/>
      <c r="G152" s="205"/>
      <c r="H152" s="206"/>
      <c r="I152" s="205"/>
      <c r="J152" s="206"/>
      <c r="K152" s="205"/>
      <c r="L152" s="206"/>
      <c r="M152" s="205"/>
      <c r="N152" s="206"/>
    </row>
    <row r="153" spans="1:14" s="1" customFormat="1" ht="12.75">
      <c r="A153" s="112"/>
      <c r="B153" s="112"/>
      <c r="C153" s="112"/>
      <c r="D153" s="112"/>
      <c r="E153" s="205"/>
      <c r="F153" s="206"/>
      <c r="G153" s="205"/>
      <c r="H153" s="206"/>
      <c r="I153" s="205"/>
      <c r="J153" s="206"/>
      <c r="K153" s="205"/>
      <c r="L153" s="206"/>
      <c r="M153" s="205"/>
      <c r="N153" s="206"/>
    </row>
    <row r="154" spans="1:14" s="1" customFormat="1" ht="12.75">
      <c r="A154" s="112"/>
      <c r="B154" s="112"/>
      <c r="C154" s="112"/>
      <c r="D154" s="112"/>
      <c r="E154" s="205"/>
      <c r="F154" s="206"/>
      <c r="G154" s="205"/>
      <c r="H154" s="206"/>
      <c r="I154" s="205"/>
      <c r="J154" s="206"/>
      <c r="K154" s="205"/>
      <c r="L154" s="206"/>
      <c r="M154" s="205"/>
      <c r="N154" s="206"/>
    </row>
    <row r="155" spans="1:14" s="1" customFormat="1" ht="12.75">
      <c r="A155" s="112"/>
      <c r="B155" s="112"/>
      <c r="C155" s="112"/>
      <c r="D155" s="112"/>
      <c r="E155" s="205"/>
      <c r="F155" s="206"/>
      <c r="G155" s="205"/>
      <c r="H155" s="206"/>
      <c r="I155" s="205"/>
      <c r="J155" s="206"/>
      <c r="K155" s="205"/>
      <c r="L155" s="206"/>
      <c r="M155" s="205"/>
      <c r="N155" s="206"/>
    </row>
    <row r="156" spans="1:14" s="1" customFormat="1" ht="12.75">
      <c r="A156" s="112"/>
      <c r="B156" s="112"/>
      <c r="C156" s="112"/>
      <c r="D156" s="112"/>
      <c r="E156" s="205"/>
      <c r="F156" s="206"/>
      <c r="G156" s="205"/>
      <c r="H156" s="206"/>
      <c r="I156" s="205"/>
      <c r="J156" s="206"/>
      <c r="K156" s="205"/>
      <c r="L156" s="206"/>
      <c r="M156" s="205"/>
      <c r="N156" s="206"/>
    </row>
    <row r="157" spans="1:14" s="1" customFormat="1" ht="12.75">
      <c r="A157" s="112"/>
      <c r="B157" s="112"/>
      <c r="C157" s="112"/>
      <c r="D157" s="112"/>
      <c r="E157" s="205"/>
      <c r="F157" s="206"/>
      <c r="G157" s="205"/>
      <c r="H157" s="206"/>
      <c r="I157" s="205"/>
      <c r="J157" s="206"/>
      <c r="K157" s="205"/>
      <c r="L157" s="206"/>
      <c r="M157" s="205"/>
      <c r="N157" s="206"/>
    </row>
    <row r="158" spans="1:14" s="1" customFormat="1" ht="12.75">
      <c r="A158" s="112"/>
      <c r="B158" s="112"/>
      <c r="C158" s="112"/>
      <c r="D158" s="112"/>
      <c r="E158" s="205"/>
      <c r="F158" s="206"/>
      <c r="G158" s="205"/>
      <c r="H158" s="206"/>
      <c r="I158" s="205"/>
      <c r="J158" s="206"/>
      <c r="K158" s="205"/>
      <c r="L158" s="206"/>
      <c r="M158" s="205"/>
      <c r="N158" s="206"/>
    </row>
    <row r="159" spans="1:14" s="1" customFormat="1" ht="12.75">
      <c r="A159" s="112"/>
      <c r="B159" s="112"/>
      <c r="C159" s="112"/>
      <c r="D159" s="112"/>
      <c r="E159" s="205"/>
      <c r="F159" s="206"/>
      <c r="G159" s="205"/>
      <c r="H159" s="206"/>
      <c r="I159" s="205"/>
      <c r="J159" s="206"/>
      <c r="K159" s="205"/>
      <c r="L159" s="206"/>
      <c r="M159" s="205"/>
      <c r="N159" s="206"/>
    </row>
    <row r="160" spans="1:14" s="1" customFormat="1" ht="12.75">
      <c r="A160" s="112"/>
      <c r="B160" s="112"/>
      <c r="C160" s="112"/>
      <c r="D160" s="112"/>
      <c r="E160" s="205"/>
      <c r="F160" s="206"/>
      <c r="G160" s="205"/>
      <c r="H160" s="206"/>
      <c r="I160" s="205"/>
      <c r="J160" s="206"/>
      <c r="K160" s="205"/>
      <c r="L160" s="206"/>
      <c r="M160" s="205"/>
      <c r="N160" s="206"/>
    </row>
    <row r="161" spans="1:14" s="1" customFormat="1" ht="12.75">
      <c r="A161" s="112"/>
      <c r="B161" s="112"/>
      <c r="C161" s="112"/>
      <c r="D161" s="112"/>
      <c r="E161" s="205"/>
      <c r="F161" s="206"/>
      <c r="G161" s="205"/>
      <c r="H161" s="206"/>
      <c r="I161" s="205"/>
      <c r="J161" s="206"/>
      <c r="K161" s="205"/>
      <c r="L161" s="206"/>
      <c r="M161" s="205"/>
      <c r="N161" s="206"/>
    </row>
    <row r="162" spans="1:14" s="1" customFormat="1" ht="12.75">
      <c r="A162" s="112"/>
      <c r="B162" s="112"/>
      <c r="C162" s="112"/>
      <c r="D162" s="112"/>
      <c r="E162" s="205"/>
      <c r="F162" s="206"/>
      <c r="G162" s="205"/>
      <c r="H162" s="206"/>
      <c r="I162" s="205"/>
      <c r="J162" s="206"/>
      <c r="K162" s="205"/>
      <c r="L162" s="206"/>
      <c r="M162" s="205"/>
      <c r="N162" s="206"/>
    </row>
    <row r="163" spans="1:14" s="1" customFormat="1" ht="12.75">
      <c r="A163" s="112"/>
      <c r="B163" s="112"/>
      <c r="C163" s="112"/>
      <c r="D163" s="112"/>
      <c r="E163" s="205"/>
      <c r="F163" s="206"/>
      <c r="G163" s="205"/>
      <c r="H163" s="206"/>
      <c r="I163" s="205"/>
      <c r="J163" s="206"/>
      <c r="K163" s="205"/>
      <c r="L163" s="206"/>
      <c r="M163" s="205"/>
      <c r="N163" s="206"/>
    </row>
    <row r="164" spans="1:14" s="1" customFormat="1" ht="12.75">
      <c r="A164" s="112"/>
      <c r="B164" s="112"/>
      <c r="C164" s="112"/>
      <c r="D164" s="112"/>
      <c r="E164" s="205"/>
      <c r="F164" s="206"/>
      <c r="G164" s="205"/>
      <c r="H164" s="206"/>
      <c r="I164" s="205"/>
      <c r="J164" s="206"/>
      <c r="K164" s="205"/>
      <c r="L164" s="206"/>
      <c r="M164" s="205"/>
      <c r="N164" s="206"/>
    </row>
    <row r="165" spans="1:14" s="1" customFormat="1" ht="12.75">
      <c r="A165" s="112"/>
      <c r="B165" s="112"/>
      <c r="C165" s="112"/>
      <c r="D165" s="112"/>
      <c r="E165" s="205"/>
      <c r="F165" s="206"/>
      <c r="G165" s="205"/>
      <c r="H165" s="206"/>
      <c r="I165" s="205"/>
      <c r="J165" s="206"/>
      <c r="K165" s="205"/>
      <c r="L165" s="206"/>
      <c r="M165" s="205"/>
      <c r="N165" s="206"/>
    </row>
    <row r="166" spans="1:14" s="1" customFormat="1" ht="12.75">
      <c r="A166" s="112"/>
      <c r="B166" s="112"/>
      <c r="C166" s="112"/>
      <c r="D166" s="112"/>
      <c r="E166" s="205"/>
      <c r="F166" s="206"/>
      <c r="G166" s="205"/>
      <c r="H166" s="206"/>
      <c r="I166" s="205"/>
      <c r="J166" s="206"/>
      <c r="K166" s="205"/>
      <c r="L166" s="206"/>
      <c r="M166" s="205"/>
      <c r="N166" s="206"/>
    </row>
    <row r="167" spans="1:14" s="1" customFormat="1" ht="12.75">
      <c r="A167" s="112"/>
      <c r="B167" s="112"/>
      <c r="C167" s="112"/>
      <c r="D167" s="112"/>
      <c r="E167" s="205"/>
      <c r="F167" s="206"/>
      <c r="G167" s="205"/>
      <c r="H167" s="206"/>
      <c r="I167" s="205"/>
      <c r="J167" s="206"/>
      <c r="K167" s="205"/>
      <c r="L167" s="206"/>
      <c r="M167" s="205"/>
      <c r="N167" s="206"/>
    </row>
    <row r="168" spans="1:14" s="1" customFormat="1" ht="12.75">
      <c r="A168" s="112"/>
      <c r="B168" s="112"/>
      <c r="C168" s="112"/>
      <c r="D168" s="112"/>
      <c r="E168" s="205"/>
      <c r="F168" s="206"/>
      <c r="G168" s="205"/>
      <c r="H168" s="206"/>
      <c r="I168" s="205"/>
      <c r="J168" s="206"/>
      <c r="K168" s="205"/>
      <c r="L168" s="206"/>
      <c r="M168" s="205"/>
      <c r="N168" s="206"/>
    </row>
    <row r="169" spans="1:14" s="1" customFormat="1" ht="12.75">
      <c r="A169" s="112"/>
      <c r="B169" s="112"/>
      <c r="C169" s="112"/>
      <c r="D169" s="112"/>
      <c r="E169" s="205"/>
      <c r="F169" s="206"/>
      <c r="G169" s="205"/>
      <c r="H169" s="206"/>
      <c r="I169" s="205"/>
      <c r="J169" s="206"/>
      <c r="K169" s="205"/>
      <c r="L169" s="206"/>
      <c r="M169" s="205"/>
      <c r="N169" s="206"/>
    </row>
    <row r="170" spans="1:14" s="1" customFormat="1" ht="12.75">
      <c r="A170" s="112"/>
      <c r="B170" s="112"/>
      <c r="C170" s="112"/>
      <c r="D170" s="112"/>
      <c r="E170" s="205"/>
      <c r="F170" s="206"/>
      <c r="G170" s="205"/>
      <c r="H170" s="206"/>
      <c r="I170" s="205"/>
      <c r="J170" s="206"/>
      <c r="K170" s="205"/>
      <c r="L170" s="206"/>
      <c r="M170" s="205"/>
      <c r="N170" s="206"/>
    </row>
    <row r="171" spans="1:14" s="1" customFormat="1" ht="12.75">
      <c r="A171" s="112"/>
      <c r="B171" s="112"/>
      <c r="C171" s="112"/>
      <c r="D171" s="112"/>
      <c r="E171" s="205"/>
      <c r="F171" s="206"/>
      <c r="G171" s="205"/>
      <c r="H171" s="206"/>
      <c r="I171" s="205"/>
      <c r="J171" s="206"/>
      <c r="K171" s="205"/>
      <c r="L171" s="206"/>
      <c r="M171" s="205"/>
      <c r="N171" s="206"/>
    </row>
    <row r="172" spans="1:14" s="1" customFormat="1" ht="12.75">
      <c r="A172" s="112"/>
      <c r="B172" s="112"/>
      <c r="C172" s="112"/>
      <c r="D172" s="112"/>
      <c r="E172" s="205"/>
      <c r="F172" s="206"/>
      <c r="G172" s="205"/>
      <c r="H172" s="206"/>
      <c r="I172" s="205"/>
      <c r="J172" s="206"/>
      <c r="K172" s="205"/>
      <c r="L172" s="206"/>
      <c r="M172" s="205"/>
      <c r="N172" s="206"/>
    </row>
    <row r="173" spans="1:14" s="1" customFormat="1" ht="12.75">
      <c r="A173" s="112"/>
      <c r="B173" s="112"/>
      <c r="C173" s="112"/>
      <c r="D173" s="112"/>
      <c r="E173" s="205"/>
      <c r="F173" s="206"/>
      <c r="G173" s="205"/>
      <c r="H173" s="206"/>
      <c r="I173" s="205"/>
      <c r="J173" s="206"/>
      <c r="K173" s="205"/>
      <c r="L173" s="206"/>
      <c r="M173" s="205"/>
      <c r="N173" s="206"/>
    </row>
    <row r="174" spans="1:14" s="1" customFormat="1" ht="12.75">
      <c r="A174" s="112"/>
      <c r="B174" s="112"/>
      <c r="C174" s="112"/>
      <c r="D174" s="112"/>
      <c r="E174" s="205"/>
      <c r="F174" s="206"/>
      <c r="G174" s="205"/>
      <c r="H174" s="206"/>
      <c r="I174" s="205"/>
      <c r="J174" s="206"/>
      <c r="K174" s="205"/>
      <c r="L174" s="206"/>
      <c r="M174" s="205"/>
      <c r="N174" s="206"/>
    </row>
    <row r="175" spans="1:14" s="1" customFormat="1" ht="12.75">
      <c r="A175" s="112"/>
      <c r="B175" s="112"/>
      <c r="C175" s="112"/>
      <c r="D175" s="112"/>
      <c r="E175" s="205"/>
      <c r="F175" s="206"/>
      <c r="G175" s="205"/>
      <c r="H175" s="206"/>
      <c r="I175" s="205"/>
      <c r="J175" s="206"/>
      <c r="K175" s="205"/>
      <c r="L175" s="206"/>
      <c r="M175" s="205"/>
      <c r="N175" s="206"/>
    </row>
    <row r="176" spans="1:14" s="1" customFormat="1" ht="12.75">
      <c r="A176" s="112"/>
      <c r="B176" s="112"/>
      <c r="C176" s="112"/>
      <c r="D176" s="112"/>
      <c r="E176" s="205"/>
      <c r="F176" s="206"/>
      <c r="G176" s="205"/>
      <c r="H176" s="206"/>
      <c r="I176" s="205"/>
      <c r="J176" s="206"/>
      <c r="K176" s="205"/>
      <c r="L176" s="206"/>
      <c r="M176" s="205"/>
      <c r="N176" s="206"/>
    </row>
    <row r="177" spans="1:14" s="1" customFormat="1" ht="12.75">
      <c r="A177" s="112"/>
      <c r="B177" s="112"/>
      <c r="C177" s="112"/>
      <c r="D177" s="112"/>
      <c r="E177" s="205"/>
      <c r="F177" s="206"/>
      <c r="G177" s="205"/>
      <c r="H177" s="206"/>
      <c r="I177" s="205"/>
      <c r="J177" s="206"/>
      <c r="K177" s="205"/>
      <c r="L177" s="206"/>
      <c r="M177" s="205"/>
      <c r="N177" s="206"/>
    </row>
    <row r="178" spans="1:14" s="1" customFormat="1" ht="12.75">
      <c r="A178" s="112"/>
      <c r="B178" s="112"/>
      <c r="C178" s="112"/>
      <c r="D178" s="112"/>
      <c r="E178" s="205"/>
      <c r="F178" s="206"/>
      <c r="G178" s="205"/>
      <c r="H178" s="206"/>
      <c r="I178" s="205"/>
      <c r="J178" s="206"/>
      <c r="K178" s="205"/>
      <c r="L178" s="206"/>
      <c r="M178" s="205"/>
      <c r="N178" s="206"/>
    </row>
    <row r="179" spans="1:14" s="1" customFormat="1" ht="12.75">
      <c r="A179" s="112"/>
      <c r="B179" s="112"/>
      <c r="C179" s="112"/>
      <c r="D179" s="112"/>
      <c r="E179" s="205"/>
      <c r="F179" s="206"/>
      <c r="G179" s="205"/>
      <c r="H179" s="206"/>
      <c r="I179" s="205"/>
      <c r="J179" s="206"/>
      <c r="K179" s="205"/>
      <c r="L179" s="206"/>
      <c r="M179" s="205"/>
      <c r="N179" s="206"/>
    </row>
    <row r="180" spans="1:14" s="1" customFormat="1" ht="12.75">
      <c r="A180" s="112"/>
      <c r="B180" s="112"/>
      <c r="C180" s="112"/>
      <c r="D180" s="112"/>
      <c r="E180" s="205"/>
      <c r="F180" s="206"/>
      <c r="G180" s="205"/>
      <c r="H180" s="206"/>
      <c r="I180" s="205"/>
      <c r="J180" s="206"/>
      <c r="K180" s="205"/>
      <c r="L180" s="206"/>
      <c r="M180" s="205"/>
      <c r="N180" s="206"/>
    </row>
    <row r="181" spans="1:14" s="1" customFormat="1" ht="12.75">
      <c r="A181" s="112"/>
      <c r="B181" s="112"/>
      <c r="C181" s="112"/>
      <c r="D181" s="112"/>
      <c r="E181" s="205"/>
      <c r="F181" s="206"/>
      <c r="G181" s="205"/>
      <c r="H181" s="206"/>
      <c r="I181" s="205"/>
      <c r="J181" s="206"/>
      <c r="K181" s="205"/>
      <c r="L181" s="206"/>
      <c r="M181" s="205"/>
      <c r="N181" s="206"/>
    </row>
    <row r="182" spans="1:14" s="1" customFormat="1" ht="12.75">
      <c r="A182" s="112"/>
      <c r="B182" s="112"/>
      <c r="C182" s="112"/>
      <c r="D182" s="112"/>
      <c r="E182" s="205"/>
      <c r="F182" s="206"/>
      <c r="G182" s="205"/>
      <c r="H182" s="206"/>
      <c r="I182" s="205"/>
      <c r="J182" s="206"/>
      <c r="K182" s="205"/>
      <c r="L182" s="206"/>
      <c r="M182" s="205"/>
      <c r="N182" s="206"/>
    </row>
    <row r="183" spans="1:14" s="1" customFormat="1" ht="12.75">
      <c r="A183" s="112"/>
      <c r="B183" s="112"/>
      <c r="C183" s="112"/>
      <c r="D183" s="112"/>
      <c r="E183" s="205"/>
      <c r="F183" s="206"/>
      <c r="G183" s="205"/>
      <c r="H183" s="206"/>
      <c r="I183" s="205"/>
      <c r="J183" s="206"/>
      <c r="K183" s="205"/>
      <c r="L183" s="206"/>
      <c r="M183" s="205"/>
      <c r="N183" s="206"/>
    </row>
    <row r="184" spans="1:14" s="1" customFormat="1" ht="12.75">
      <c r="A184" s="112"/>
      <c r="B184" s="112"/>
      <c r="C184" s="112"/>
      <c r="D184" s="112"/>
      <c r="E184" s="205"/>
      <c r="F184" s="206"/>
      <c r="G184" s="205"/>
      <c r="H184" s="206"/>
      <c r="I184" s="205"/>
      <c r="J184" s="206"/>
      <c r="K184" s="205"/>
      <c r="L184" s="206"/>
      <c r="M184" s="205"/>
      <c r="N184" s="206"/>
    </row>
    <row r="185" spans="1:14" s="1" customFormat="1" ht="12.75">
      <c r="A185" s="112"/>
      <c r="B185" s="112"/>
      <c r="C185" s="112"/>
      <c r="D185" s="112"/>
      <c r="E185" s="205"/>
      <c r="F185" s="206"/>
      <c r="G185" s="205"/>
      <c r="H185" s="206"/>
      <c r="I185" s="205"/>
      <c r="J185" s="206"/>
      <c r="K185" s="205"/>
      <c r="L185" s="206"/>
      <c r="M185" s="205"/>
      <c r="N185" s="206"/>
    </row>
    <row r="186" spans="1:14" s="1" customFormat="1" ht="12.75">
      <c r="A186" s="112"/>
      <c r="B186" s="112"/>
      <c r="C186" s="112"/>
      <c r="D186" s="112"/>
      <c r="E186" s="205"/>
      <c r="F186" s="206"/>
      <c r="G186" s="205"/>
      <c r="H186" s="206"/>
      <c r="I186" s="205"/>
      <c r="J186" s="206"/>
      <c r="K186" s="205"/>
      <c r="L186" s="206"/>
      <c r="M186" s="205"/>
      <c r="N186" s="206"/>
    </row>
    <row r="187" spans="1:14" s="1" customFormat="1" ht="12.75">
      <c r="A187" s="112"/>
      <c r="B187" s="112"/>
      <c r="C187" s="112"/>
      <c r="D187" s="112"/>
      <c r="E187" s="205"/>
      <c r="F187" s="206"/>
      <c r="G187" s="205"/>
      <c r="H187" s="206"/>
      <c r="I187" s="205"/>
      <c r="J187" s="206"/>
      <c r="K187" s="205"/>
      <c r="L187" s="206"/>
      <c r="M187" s="205"/>
      <c r="N187" s="206"/>
    </row>
    <row r="188" spans="1:14" s="1" customFormat="1" ht="12.75">
      <c r="A188" s="112"/>
      <c r="B188" s="112"/>
      <c r="C188" s="112"/>
      <c r="D188" s="112"/>
      <c r="E188" s="205"/>
      <c r="F188" s="206"/>
      <c r="G188" s="205"/>
      <c r="H188" s="206"/>
      <c r="I188" s="205"/>
      <c r="J188" s="206"/>
      <c r="K188" s="205"/>
      <c r="L188" s="206"/>
      <c r="M188" s="205"/>
      <c r="N188" s="206"/>
    </row>
    <row r="189" spans="1:14" s="1" customFormat="1" ht="12.75">
      <c r="A189" s="112"/>
      <c r="B189" s="112"/>
      <c r="C189" s="112"/>
      <c r="D189" s="112"/>
      <c r="E189" s="205"/>
      <c r="F189" s="206"/>
      <c r="G189" s="205"/>
      <c r="H189" s="206"/>
      <c r="I189" s="205"/>
      <c r="J189" s="206"/>
      <c r="K189" s="205"/>
      <c r="L189" s="206"/>
      <c r="M189" s="205"/>
      <c r="N189" s="206"/>
    </row>
    <row r="190" spans="1:14" s="1" customFormat="1" ht="12.75">
      <c r="A190" s="112"/>
      <c r="B190" s="112"/>
      <c r="C190" s="112"/>
      <c r="D190" s="112"/>
      <c r="E190" s="205"/>
      <c r="F190" s="206"/>
      <c r="G190" s="205"/>
      <c r="H190" s="206"/>
      <c r="I190" s="205"/>
      <c r="J190" s="206"/>
      <c r="K190" s="205"/>
      <c r="L190" s="206"/>
      <c r="M190" s="205"/>
      <c r="N190" s="206"/>
    </row>
    <row r="191" spans="1:14" s="1" customFormat="1" ht="12.75">
      <c r="A191" s="112"/>
      <c r="B191" s="112"/>
      <c r="C191" s="112"/>
      <c r="D191" s="112"/>
      <c r="E191" s="205"/>
      <c r="F191" s="206"/>
      <c r="G191" s="205"/>
      <c r="H191" s="206"/>
      <c r="I191" s="205"/>
      <c r="J191" s="206"/>
      <c r="K191" s="205"/>
      <c r="L191" s="206"/>
      <c r="M191" s="205"/>
      <c r="N191" s="206"/>
    </row>
    <row r="192" spans="1:14" s="1" customFormat="1" ht="12.75">
      <c r="A192" s="112"/>
      <c r="B192" s="112"/>
      <c r="C192" s="112"/>
      <c r="D192" s="112"/>
      <c r="E192" s="205"/>
      <c r="F192" s="206"/>
      <c r="G192" s="205"/>
      <c r="H192" s="206"/>
      <c r="I192" s="205"/>
      <c r="J192" s="206"/>
      <c r="K192" s="205"/>
      <c r="L192" s="206"/>
      <c r="M192" s="205"/>
      <c r="N192" s="206"/>
    </row>
    <row r="193" spans="1:14" s="1" customFormat="1" ht="12.75">
      <c r="A193" s="112"/>
      <c r="B193" s="112"/>
      <c r="C193" s="112"/>
      <c r="D193" s="112"/>
      <c r="E193" s="205"/>
      <c r="F193" s="206"/>
      <c r="G193" s="205"/>
      <c r="H193" s="206"/>
      <c r="I193" s="205"/>
      <c r="J193" s="206"/>
      <c r="K193" s="205"/>
      <c r="L193" s="206"/>
      <c r="M193" s="205"/>
      <c r="N193" s="206"/>
    </row>
    <row r="194" spans="1:14" s="1" customFormat="1" ht="12.75">
      <c r="A194" s="112"/>
      <c r="B194" s="112"/>
      <c r="C194" s="112"/>
      <c r="D194" s="112"/>
      <c r="E194" s="205"/>
      <c r="F194" s="206"/>
      <c r="G194" s="205"/>
      <c r="H194" s="206"/>
      <c r="I194" s="205"/>
      <c r="J194" s="206"/>
      <c r="K194" s="205"/>
      <c r="L194" s="206"/>
      <c r="M194" s="205"/>
      <c r="N194" s="206"/>
    </row>
    <row r="195" spans="1:14" s="1" customFormat="1" ht="12.75">
      <c r="A195" s="112"/>
      <c r="B195" s="112"/>
      <c r="C195" s="112"/>
      <c r="D195" s="112"/>
      <c r="E195" s="205"/>
      <c r="F195" s="206"/>
      <c r="G195" s="205"/>
      <c r="H195" s="206"/>
      <c r="I195" s="205"/>
      <c r="J195" s="206"/>
      <c r="K195" s="205"/>
      <c r="L195" s="206"/>
      <c r="M195" s="205"/>
      <c r="N195" s="206"/>
    </row>
    <row r="196" spans="1:14" s="1" customFormat="1" ht="12.75">
      <c r="A196" s="112"/>
      <c r="B196" s="112"/>
      <c r="C196" s="112"/>
      <c r="D196" s="112"/>
      <c r="E196" s="205"/>
      <c r="F196" s="206"/>
      <c r="G196" s="205"/>
      <c r="H196" s="206"/>
      <c r="I196" s="205"/>
      <c r="J196" s="206"/>
      <c r="K196" s="205"/>
      <c r="L196" s="206"/>
      <c r="M196" s="205"/>
      <c r="N196" s="206"/>
    </row>
    <row r="197" spans="1:14" s="1" customFormat="1" ht="12.75">
      <c r="A197" s="112"/>
      <c r="B197" s="112"/>
      <c r="C197" s="112"/>
      <c r="D197" s="112"/>
      <c r="E197" s="205"/>
      <c r="F197" s="206"/>
      <c r="G197" s="205"/>
      <c r="H197" s="206"/>
      <c r="I197" s="205"/>
      <c r="J197" s="206"/>
      <c r="K197" s="205"/>
      <c r="L197" s="206"/>
      <c r="M197" s="205"/>
      <c r="N197" s="206"/>
    </row>
    <row r="198" spans="1:14" s="1" customFormat="1" ht="12.75">
      <c r="A198" s="112"/>
      <c r="B198" s="112"/>
      <c r="C198" s="112"/>
      <c r="D198" s="112"/>
      <c r="E198" s="205"/>
      <c r="F198" s="206"/>
      <c r="G198" s="205"/>
      <c r="H198" s="206"/>
      <c r="I198" s="205"/>
      <c r="J198" s="206"/>
      <c r="K198" s="205"/>
      <c r="L198" s="206"/>
      <c r="M198" s="205"/>
      <c r="N198" s="206"/>
    </row>
    <row r="199" spans="1:14" s="1" customFormat="1" ht="12.75">
      <c r="A199" s="112"/>
      <c r="B199" s="112"/>
      <c r="C199" s="112"/>
      <c r="D199" s="112"/>
      <c r="E199" s="205"/>
      <c r="F199" s="206"/>
      <c r="G199" s="205"/>
      <c r="H199" s="206"/>
      <c r="I199" s="205"/>
      <c r="J199" s="206"/>
      <c r="K199" s="205"/>
      <c r="L199" s="206"/>
      <c r="M199" s="205"/>
      <c r="N199" s="206"/>
    </row>
    <row r="200" spans="1:14" s="1" customFormat="1" ht="12.75">
      <c r="A200" s="112"/>
      <c r="B200" s="112"/>
      <c r="C200" s="112"/>
      <c r="D200" s="112"/>
      <c r="E200" s="205"/>
      <c r="F200" s="206"/>
      <c r="G200" s="205"/>
      <c r="H200" s="206"/>
      <c r="I200" s="205"/>
      <c r="J200" s="206"/>
      <c r="K200" s="205"/>
      <c r="L200" s="206"/>
      <c r="M200" s="205"/>
      <c r="N200" s="206"/>
    </row>
    <row r="201" spans="1:14" s="1" customFormat="1" ht="12.75">
      <c r="A201" s="112"/>
      <c r="B201" s="112"/>
      <c r="C201" s="112"/>
      <c r="D201" s="112"/>
      <c r="E201" s="205"/>
      <c r="F201" s="206"/>
      <c r="G201" s="205"/>
      <c r="H201" s="206"/>
      <c r="I201" s="205"/>
      <c r="J201" s="206"/>
      <c r="K201" s="205"/>
      <c r="L201" s="206"/>
      <c r="M201" s="205"/>
      <c r="N201" s="206"/>
    </row>
    <row r="202" spans="1:14" s="1" customFormat="1" ht="12.75">
      <c r="A202" s="112"/>
      <c r="B202" s="112"/>
      <c r="C202" s="112"/>
      <c r="D202" s="112"/>
      <c r="E202" s="205"/>
      <c r="F202" s="206"/>
      <c r="G202" s="205"/>
      <c r="H202" s="206"/>
      <c r="I202" s="205"/>
      <c r="J202" s="206"/>
      <c r="K202" s="205"/>
      <c r="L202" s="206"/>
      <c r="M202" s="205"/>
      <c r="N202" s="206"/>
    </row>
    <row r="203" spans="1:14" s="1" customFormat="1" ht="12.75">
      <c r="A203" s="112"/>
      <c r="B203" s="112"/>
      <c r="C203" s="112"/>
      <c r="D203" s="112"/>
      <c r="E203" s="205"/>
      <c r="F203" s="206"/>
      <c r="G203" s="205"/>
      <c r="H203" s="206"/>
      <c r="I203" s="205"/>
      <c r="J203" s="206"/>
      <c r="K203" s="205"/>
      <c r="L203" s="206"/>
      <c r="M203" s="205"/>
      <c r="N203" s="206"/>
    </row>
    <row r="204" spans="1:14" s="1" customFormat="1" ht="12.75">
      <c r="A204" s="112"/>
      <c r="B204" s="112"/>
      <c r="C204" s="112"/>
      <c r="D204" s="112"/>
      <c r="E204" s="205"/>
      <c r="F204" s="206"/>
      <c r="G204" s="205"/>
      <c r="H204" s="206"/>
      <c r="I204" s="205"/>
      <c r="J204" s="206"/>
      <c r="K204" s="205"/>
      <c r="L204" s="206"/>
      <c r="M204" s="205"/>
      <c r="N204" s="206"/>
    </row>
    <row r="205" spans="1:14" s="1" customFormat="1" ht="12.75">
      <c r="A205" s="112"/>
      <c r="B205" s="112"/>
      <c r="C205" s="112"/>
      <c r="D205" s="112"/>
      <c r="E205" s="205"/>
      <c r="F205" s="206"/>
      <c r="G205" s="205"/>
      <c r="H205" s="206"/>
      <c r="I205" s="205"/>
      <c r="J205" s="206"/>
      <c r="K205" s="205"/>
      <c r="L205" s="206"/>
      <c r="M205" s="205"/>
      <c r="N205" s="206"/>
    </row>
    <row r="206" spans="1:14" s="1" customFormat="1" ht="12.75">
      <c r="A206" s="112"/>
      <c r="B206" s="112"/>
      <c r="C206" s="112"/>
      <c r="D206" s="112"/>
      <c r="E206" s="205"/>
      <c r="F206" s="206"/>
      <c r="G206" s="205"/>
      <c r="H206" s="206"/>
      <c r="I206" s="205"/>
      <c r="J206" s="206"/>
      <c r="K206" s="205"/>
      <c r="L206" s="206"/>
      <c r="M206" s="205"/>
      <c r="N206" s="206"/>
    </row>
    <row r="207" spans="1:14" s="1" customFormat="1" ht="12.75">
      <c r="A207" s="112"/>
      <c r="B207" s="112"/>
      <c r="C207" s="112"/>
      <c r="D207" s="112"/>
      <c r="E207" s="205"/>
      <c r="F207" s="206"/>
      <c r="G207" s="205"/>
      <c r="H207" s="206"/>
      <c r="I207" s="205"/>
      <c r="J207" s="206"/>
      <c r="K207" s="205"/>
      <c r="L207" s="206"/>
      <c r="M207" s="205"/>
      <c r="N207" s="206"/>
    </row>
    <row r="208" spans="1:14" s="1" customFormat="1" ht="12.75">
      <c r="A208" s="112"/>
      <c r="B208" s="112"/>
      <c r="C208" s="112"/>
      <c r="D208" s="112"/>
      <c r="E208" s="205"/>
      <c r="F208" s="206"/>
      <c r="G208" s="205"/>
      <c r="H208" s="206"/>
      <c r="I208" s="205"/>
      <c r="J208" s="206"/>
      <c r="K208" s="205"/>
      <c r="L208" s="206"/>
      <c r="M208" s="205"/>
      <c r="N208" s="206"/>
    </row>
    <row r="209" spans="1:14" s="1" customFormat="1" ht="12.75">
      <c r="A209" s="112"/>
      <c r="B209" s="112"/>
      <c r="C209" s="112"/>
      <c r="D209" s="112"/>
      <c r="E209" s="205"/>
      <c r="F209" s="206"/>
      <c r="G209" s="205"/>
      <c r="H209" s="206"/>
      <c r="I209" s="205"/>
      <c r="J209" s="206"/>
      <c r="K209" s="205"/>
      <c r="L209" s="206"/>
      <c r="M209" s="205"/>
      <c r="N209" s="206"/>
    </row>
    <row r="210" spans="1:14" s="1" customFormat="1" ht="12.75">
      <c r="A210" s="112"/>
      <c r="B210" s="112"/>
      <c r="C210" s="112"/>
      <c r="D210" s="112"/>
      <c r="E210" s="205"/>
      <c r="F210" s="206"/>
      <c r="G210" s="205"/>
      <c r="H210" s="206"/>
      <c r="I210" s="205"/>
      <c r="J210" s="206"/>
      <c r="K210" s="205"/>
      <c r="L210" s="206"/>
      <c r="M210" s="205"/>
      <c r="N210" s="206"/>
    </row>
    <row r="211" spans="1:14" s="1" customFormat="1" ht="12.75">
      <c r="A211" s="112"/>
      <c r="B211" s="112"/>
      <c r="C211" s="112"/>
      <c r="D211" s="112"/>
      <c r="E211" s="205"/>
      <c r="F211" s="206"/>
      <c r="G211" s="205"/>
      <c r="H211" s="206"/>
      <c r="I211" s="205"/>
      <c r="J211" s="206"/>
      <c r="K211" s="205"/>
      <c r="L211" s="206"/>
      <c r="M211" s="205"/>
      <c r="N211" s="206"/>
    </row>
    <row r="212" spans="1:14" s="1" customFormat="1" ht="12.75">
      <c r="A212" s="112"/>
      <c r="B212" s="112"/>
      <c r="C212" s="112"/>
      <c r="D212" s="112"/>
      <c r="E212" s="205"/>
      <c r="F212" s="206"/>
      <c r="G212" s="205"/>
      <c r="H212" s="206"/>
      <c r="I212" s="205"/>
      <c r="J212" s="206"/>
      <c r="K212" s="205"/>
      <c r="L212" s="206"/>
      <c r="M212" s="205"/>
      <c r="N212" s="206"/>
    </row>
    <row r="213" spans="1:14" s="1" customFormat="1" ht="12.75">
      <c r="A213" s="112"/>
      <c r="B213" s="112"/>
      <c r="C213" s="112"/>
      <c r="D213" s="112"/>
      <c r="E213" s="205"/>
      <c r="F213" s="206"/>
      <c r="G213" s="205"/>
      <c r="H213" s="206"/>
      <c r="I213" s="205"/>
      <c r="J213" s="206"/>
      <c r="K213" s="205"/>
      <c r="L213" s="206"/>
      <c r="M213" s="205"/>
      <c r="N213" s="206"/>
    </row>
    <row r="214" spans="1:14" s="1" customFormat="1" ht="12.75">
      <c r="A214" s="112"/>
      <c r="B214" s="112"/>
      <c r="C214" s="112"/>
      <c r="D214" s="112"/>
      <c r="E214" s="205"/>
      <c r="F214" s="206"/>
      <c r="G214" s="205"/>
      <c r="H214" s="206"/>
      <c r="I214" s="205"/>
      <c r="J214" s="206"/>
      <c r="K214" s="205"/>
      <c r="L214" s="206"/>
      <c r="M214" s="205"/>
      <c r="N214" s="206"/>
    </row>
    <row r="215" spans="1:14" s="1" customFormat="1" ht="12.75">
      <c r="A215" s="112"/>
      <c r="B215" s="112"/>
      <c r="C215" s="112"/>
      <c r="D215" s="112"/>
      <c r="E215" s="205"/>
      <c r="F215" s="206"/>
      <c r="G215" s="205"/>
      <c r="H215" s="206"/>
      <c r="I215" s="205"/>
      <c r="J215" s="206"/>
      <c r="K215" s="205"/>
      <c r="L215" s="206"/>
      <c r="M215" s="205"/>
      <c r="N215" s="206"/>
    </row>
    <row r="216" spans="1:14" s="1" customFormat="1" ht="12.75">
      <c r="A216" s="112"/>
      <c r="B216" s="112"/>
      <c r="C216" s="112"/>
      <c r="D216" s="112"/>
      <c r="E216" s="205"/>
      <c r="F216" s="206"/>
      <c r="G216" s="205"/>
      <c r="H216" s="206"/>
      <c r="I216" s="205"/>
      <c r="J216" s="206"/>
      <c r="K216" s="205"/>
      <c r="L216" s="206"/>
      <c r="M216" s="205"/>
      <c r="N216" s="206"/>
    </row>
    <row r="217" spans="1:14" s="1" customFormat="1" ht="12.75">
      <c r="A217" s="112"/>
      <c r="B217" s="112"/>
      <c r="C217" s="112"/>
      <c r="D217" s="112"/>
      <c r="E217" s="205"/>
      <c r="F217" s="206"/>
      <c r="G217" s="205"/>
      <c r="H217" s="206"/>
      <c r="I217" s="205"/>
      <c r="J217" s="206"/>
      <c r="K217" s="205"/>
      <c r="L217" s="206"/>
      <c r="M217" s="205"/>
      <c r="N217" s="206"/>
    </row>
    <row r="218" spans="1:14" s="1" customFormat="1" ht="12.75">
      <c r="A218" s="112"/>
      <c r="B218" s="112"/>
      <c r="C218" s="112"/>
      <c r="D218" s="112"/>
      <c r="E218" s="205"/>
      <c r="F218" s="206"/>
      <c r="G218" s="205"/>
      <c r="H218" s="206"/>
      <c r="I218" s="205"/>
      <c r="J218" s="206"/>
      <c r="K218" s="205"/>
      <c r="L218" s="206"/>
      <c r="M218" s="205"/>
      <c r="N218" s="206"/>
    </row>
    <row r="219" spans="1:14" s="1" customFormat="1" ht="12.75">
      <c r="A219" s="112"/>
      <c r="B219" s="112"/>
      <c r="C219" s="112"/>
      <c r="D219" s="112"/>
      <c r="E219" s="205"/>
      <c r="F219" s="206"/>
      <c r="G219" s="205"/>
      <c r="H219" s="206"/>
      <c r="I219" s="205"/>
      <c r="J219" s="206"/>
      <c r="K219" s="205"/>
      <c r="L219" s="206"/>
      <c r="M219" s="205"/>
      <c r="N219" s="206"/>
    </row>
    <row r="220" spans="1:14" s="1" customFormat="1" ht="12.75">
      <c r="A220" s="112"/>
      <c r="B220" s="112"/>
      <c r="C220" s="112"/>
      <c r="D220" s="112"/>
      <c r="E220" s="205"/>
      <c r="F220" s="206"/>
      <c r="G220" s="205"/>
      <c r="H220" s="206"/>
      <c r="I220" s="205"/>
      <c r="J220" s="206"/>
      <c r="K220" s="205"/>
      <c r="L220" s="206"/>
      <c r="M220" s="205"/>
      <c r="N220" s="206"/>
    </row>
    <row r="221" spans="1:14" s="1" customFormat="1" ht="12.75">
      <c r="A221" s="112"/>
      <c r="B221" s="112"/>
      <c r="C221" s="112"/>
      <c r="D221" s="112"/>
      <c r="E221" s="205"/>
      <c r="F221" s="206"/>
      <c r="G221" s="205"/>
      <c r="H221" s="206"/>
      <c r="I221" s="205"/>
      <c r="J221" s="206"/>
      <c r="K221" s="205"/>
      <c r="L221" s="206"/>
      <c r="M221" s="205"/>
      <c r="N221" s="206"/>
    </row>
    <row r="222" spans="1:14" s="1" customFormat="1" ht="12.75">
      <c r="A222" s="112"/>
      <c r="B222" s="112"/>
      <c r="C222" s="112"/>
      <c r="D222" s="112"/>
      <c r="E222" s="205"/>
      <c r="F222" s="206"/>
      <c r="G222" s="205"/>
      <c r="H222" s="206"/>
      <c r="I222" s="205"/>
      <c r="J222" s="206"/>
      <c r="K222" s="205"/>
      <c r="L222" s="206"/>
      <c r="M222" s="205"/>
      <c r="N222" s="206"/>
    </row>
    <row r="223" spans="1:14" s="1" customFormat="1" ht="12.75">
      <c r="A223" s="112"/>
      <c r="B223" s="112"/>
      <c r="C223" s="112"/>
      <c r="D223" s="112"/>
      <c r="E223" s="205"/>
      <c r="F223" s="206"/>
      <c r="G223" s="205"/>
      <c r="H223" s="206"/>
      <c r="I223" s="205"/>
      <c r="J223" s="206"/>
      <c r="K223" s="205"/>
      <c r="L223" s="206"/>
      <c r="M223" s="205"/>
      <c r="N223" s="206"/>
    </row>
    <row r="224" spans="1:14" s="1" customFormat="1" ht="12.75">
      <c r="A224" s="112"/>
      <c r="B224" s="112"/>
      <c r="C224" s="112"/>
      <c r="D224" s="112"/>
      <c r="E224" s="205"/>
      <c r="F224" s="206"/>
      <c r="G224" s="205"/>
      <c r="H224" s="206"/>
      <c r="I224" s="205"/>
      <c r="J224" s="206"/>
      <c r="K224" s="205"/>
      <c r="L224" s="206"/>
      <c r="M224" s="205"/>
      <c r="N224" s="206"/>
    </row>
    <row r="225" spans="1:14" s="1" customFormat="1" ht="12.75">
      <c r="A225" s="112"/>
      <c r="B225" s="112"/>
      <c r="C225" s="112"/>
      <c r="D225" s="112"/>
      <c r="E225" s="205"/>
      <c r="F225" s="206"/>
      <c r="G225" s="205"/>
      <c r="H225" s="206"/>
      <c r="I225" s="205"/>
      <c r="J225" s="206"/>
      <c r="K225" s="205"/>
      <c r="L225" s="206"/>
      <c r="M225" s="205"/>
      <c r="N225" s="206"/>
    </row>
    <row r="226" spans="1:14" s="1" customFormat="1" ht="12.75">
      <c r="A226" s="112"/>
      <c r="B226" s="112"/>
      <c r="C226" s="112"/>
      <c r="D226" s="112"/>
      <c r="E226" s="205"/>
      <c r="F226" s="206"/>
      <c r="G226" s="205"/>
      <c r="H226" s="206"/>
      <c r="I226" s="205"/>
      <c r="J226" s="206"/>
      <c r="K226" s="205"/>
      <c r="L226" s="206"/>
      <c r="M226" s="205"/>
      <c r="N226" s="206"/>
    </row>
    <row r="227" spans="1:14" s="1" customFormat="1" ht="12.75">
      <c r="A227" s="112"/>
      <c r="B227" s="112"/>
      <c r="C227" s="112"/>
      <c r="D227" s="112"/>
      <c r="E227" s="205"/>
      <c r="F227" s="206"/>
      <c r="G227" s="205"/>
      <c r="H227" s="206"/>
      <c r="I227" s="205"/>
      <c r="J227" s="206"/>
      <c r="K227" s="205"/>
      <c r="L227" s="206"/>
      <c r="M227" s="205"/>
      <c r="N227" s="206"/>
    </row>
    <row r="228" spans="1:14" s="1" customFormat="1" ht="12.75">
      <c r="A228" s="112"/>
      <c r="B228" s="112"/>
      <c r="C228" s="112"/>
      <c r="D228" s="112"/>
      <c r="E228" s="205"/>
      <c r="F228" s="206"/>
      <c r="G228" s="205"/>
      <c r="H228" s="206"/>
      <c r="I228" s="205"/>
      <c r="J228" s="206"/>
      <c r="K228" s="205"/>
      <c r="L228" s="206"/>
      <c r="M228" s="205"/>
      <c r="N228" s="206"/>
    </row>
    <row r="229" spans="1:14" s="1" customFormat="1" ht="12.75">
      <c r="A229" s="112"/>
      <c r="B229" s="112"/>
      <c r="C229" s="112"/>
      <c r="D229" s="112"/>
      <c r="E229" s="205"/>
      <c r="F229" s="206"/>
      <c r="G229" s="205"/>
      <c r="H229" s="206"/>
      <c r="I229" s="205"/>
      <c r="J229" s="206"/>
      <c r="K229" s="205"/>
      <c r="L229" s="206"/>
      <c r="M229" s="205"/>
      <c r="N229" s="206"/>
    </row>
    <row r="230" spans="1:14" s="1" customFormat="1" ht="12.75">
      <c r="A230" s="112"/>
      <c r="B230" s="112"/>
      <c r="C230" s="112"/>
      <c r="D230" s="112"/>
      <c r="E230" s="205"/>
      <c r="F230" s="206"/>
      <c r="G230" s="205"/>
      <c r="H230" s="206"/>
      <c r="I230" s="205"/>
      <c r="J230" s="206"/>
      <c r="K230" s="205"/>
      <c r="L230" s="206"/>
      <c r="M230" s="205"/>
      <c r="N230" s="206"/>
    </row>
    <row r="231" spans="1:14" s="1" customFormat="1" ht="12.75">
      <c r="A231" s="112"/>
      <c r="B231" s="112"/>
      <c r="C231" s="112"/>
      <c r="D231" s="112"/>
      <c r="E231" s="205"/>
      <c r="F231" s="206"/>
      <c r="G231" s="205"/>
      <c r="H231" s="206"/>
      <c r="I231" s="205"/>
      <c r="J231" s="206"/>
      <c r="K231" s="205"/>
      <c r="L231" s="206"/>
      <c r="M231" s="205"/>
      <c r="N231" s="206"/>
    </row>
    <row r="232" spans="1:14" s="1" customFormat="1" ht="12.75">
      <c r="A232" s="112"/>
      <c r="B232" s="112"/>
      <c r="C232" s="112"/>
      <c r="D232" s="112"/>
      <c r="E232" s="205"/>
      <c r="F232" s="206"/>
      <c r="G232" s="205"/>
      <c r="H232" s="206"/>
      <c r="I232" s="205"/>
      <c r="J232" s="206"/>
      <c r="K232" s="205"/>
      <c r="L232" s="206"/>
      <c r="M232" s="205"/>
      <c r="N232" s="206"/>
    </row>
    <row r="233" spans="1:14" s="1" customFormat="1" ht="12.75">
      <c r="A233" s="112"/>
      <c r="B233" s="112"/>
      <c r="C233" s="112"/>
      <c r="D233" s="112"/>
      <c r="E233" s="205"/>
      <c r="F233" s="206"/>
      <c r="G233" s="205"/>
      <c r="H233" s="206"/>
      <c r="I233" s="205"/>
      <c r="J233" s="206"/>
      <c r="K233" s="205"/>
      <c r="L233" s="206"/>
      <c r="M233" s="205"/>
      <c r="N233" s="206"/>
    </row>
    <row r="234" spans="1:14" s="1" customFormat="1" ht="12.75">
      <c r="A234" s="112"/>
      <c r="B234" s="112"/>
      <c r="C234" s="112"/>
      <c r="D234" s="112"/>
      <c r="E234" s="205"/>
      <c r="F234" s="206"/>
      <c r="G234" s="205"/>
      <c r="H234" s="206"/>
      <c r="I234" s="205"/>
      <c r="J234" s="206"/>
      <c r="K234" s="205"/>
      <c r="L234" s="206"/>
      <c r="M234" s="205"/>
      <c r="N234" s="206"/>
    </row>
    <row r="235" spans="1:14" s="1" customFormat="1" ht="12.75">
      <c r="A235" s="112"/>
      <c r="B235" s="112"/>
      <c r="C235" s="112"/>
      <c r="D235" s="112"/>
      <c r="E235" s="205"/>
      <c r="F235" s="206"/>
      <c r="G235" s="205"/>
      <c r="H235" s="206"/>
      <c r="I235" s="205"/>
      <c r="J235" s="206"/>
      <c r="K235" s="205"/>
      <c r="L235" s="206"/>
      <c r="M235" s="205"/>
      <c r="N235" s="206"/>
    </row>
    <row r="236" spans="1:14" s="1" customFormat="1" ht="12.75">
      <c r="A236" s="112"/>
      <c r="B236" s="112"/>
      <c r="C236" s="112"/>
      <c r="D236" s="112"/>
      <c r="E236" s="205"/>
      <c r="F236" s="206"/>
      <c r="G236" s="205"/>
      <c r="H236" s="206"/>
      <c r="I236" s="205"/>
      <c r="J236" s="206"/>
      <c r="K236" s="205"/>
      <c r="L236" s="206"/>
      <c r="M236" s="205"/>
      <c r="N236" s="206"/>
    </row>
    <row r="237" spans="1:14" s="1" customFormat="1" ht="12.75">
      <c r="A237" s="112"/>
      <c r="B237" s="112"/>
      <c r="C237" s="112"/>
      <c r="D237" s="112"/>
      <c r="E237" s="205"/>
      <c r="F237" s="206"/>
      <c r="G237" s="205"/>
      <c r="H237" s="206"/>
      <c r="I237" s="205"/>
      <c r="J237" s="206"/>
      <c r="K237" s="205"/>
      <c r="L237" s="206"/>
      <c r="M237" s="205"/>
      <c r="N237" s="206"/>
    </row>
    <row r="238" spans="1:14" s="1" customFormat="1" ht="12.75">
      <c r="A238" s="112"/>
      <c r="B238" s="112"/>
      <c r="C238" s="112"/>
      <c r="D238" s="112"/>
      <c r="E238" s="205"/>
      <c r="F238" s="206"/>
      <c r="G238" s="205"/>
      <c r="H238" s="206"/>
      <c r="I238" s="205"/>
      <c r="J238" s="206"/>
      <c r="K238" s="205"/>
      <c r="L238" s="206"/>
      <c r="M238" s="205"/>
      <c r="N238" s="206"/>
    </row>
    <row r="239" spans="1:14" s="1" customFormat="1" ht="12.75">
      <c r="A239" s="112"/>
      <c r="B239" s="112"/>
      <c r="C239" s="112"/>
      <c r="D239" s="112"/>
      <c r="E239" s="205"/>
      <c r="F239" s="206"/>
      <c r="G239" s="205"/>
      <c r="H239" s="206"/>
      <c r="I239" s="205"/>
      <c r="J239" s="206"/>
      <c r="K239" s="205"/>
      <c r="L239" s="206"/>
      <c r="M239" s="205"/>
      <c r="N239" s="206"/>
    </row>
    <row r="240" spans="1:14" s="1" customFormat="1" ht="12.75">
      <c r="A240" s="112"/>
      <c r="B240" s="112"/>
      <c r="C240" s="112"/>
      <c r="D240" s="112"/>
      <c r="E240" s="205"/>
      <c r="F240" s="206"/>
      <c r="G240" s="205"/>
      <c r="H240" s="206"/>
      <c r="I240" s="205"/>
      <c r="J240" s="206"/>
      <c r="K240" s="205"/>
      <c r="L240" s="206"/>
      <c r="M240" s="205"/>
      <c r="N240" s="206"/>
    </row>
    <row r="241" spans="1:14" s="1" customFormat="1" ht="12.75">
      <c r="A241" s="112"/>
      <c r="B241" s="112"/>
      <c r="C241" s="112"/>
      <c r="D241" s="112"/>
      <c r="E241" s="205"/>
      <c r="F241" s="206"/>
      <c r="G241" s="205"/>
      <c r="H241" s="206"/>
      <c r="I241" s="205"/>
      <c r="J241" s="206"/>
      <c r="K241" s="205"/>
      <c r="L241" s="206"/>
      <c r="M241" s="205"/>
      <c r="N241" s="206"/>
    </row>
    <row r="242" spans="1:14" s="1" customFormat="1" ht="12.75">
      <c r="A242" s="112"/>
      <c r="B242" s="112"/>
      <c r="C242" s="112"/>
      <c r="D242" s="112"/>
      <c r="E242" s="205"/>
      <c r="F242" s="206"/>
      <c r="G242" s="205"/>
      <c r="H242" s="206"/>
      <c r="I242" s="205"/>
      <c r="J242" s="206"/>
      <c r="K242" s="205"/>
      <c r="L242" s="206"/>
      <c r="M242" s="205"/>
      <c r="N242" s="206"/>
    </row>
    <row r="243" spans="1:14" s="1" customFormat="1" ht="12.75">
      <c r="A243" s="112"/>
      <c r="B243" s="112"/>
      <c r="C243" s="112"/>
      <c r="D243" s="112"/>
      <c r="E243" s="205"/>
      <c r="F243" s="206"/>
      <c r="G243" s="205"/>
      <c r="H243" s="206"/>
      <c r="I243" s="205"/>
      <c r="J243" s="206"/>
      <c r="K243" s="205"/>
      <c r="L243" s="206"/>
      <c r="M243" s="205"/>
      <c r="N243" s="206"/>
    </row>
    <row r="244" spans="1:14" s="1" customFormat="1" ht="12.75">
      <c r="A244" s="112"/>
      <c r="B244" s="112"/>
      <c r="C244" s="112"/>
      <c r="D244" s="112"/>
      <c r="E244" s="205"/>
      <c r="F244" s="206"/>
      <c r="G244" s="205"/>
      <c r="H244" s="206"/>
      <c r="I244" s="205"/>
      <c r="J244" s="206"/>
      <c r="K244" s="205"/>
      <c r="L244" s="206"/>
      <c r="M244" s="205"/>
      <c r="N244" s="206"/>
    </row>
    <row r="245" spans="1:14" s="1" customFormat="1" ht="12.75">
      <c r="A245" s="112"/>
      <c r="B245" s="112"/>
      <c r="C245" s="112"/>
      <c r="D245" s="112"/>
      <c r="E245" s="205"/>
      <c r="F245" s="206"/>
      <c r="G245" s="205"/>
      <c r="H245" s="206"/>
      <c r="I245" s="205"/>
      <c r="J245" s="206"/>
      <c r="K245" s="205"/>
      <c r="L245" s="206"/>
      <c r="M245" s="205"/>
      <c r="N245" s="206"/>
    </row>
    <row r="246" spans="1:14" s="1" customFormat="1" ht="12.75">
      <c r="A246" s="112"/>
      <c r="B246" s="112"/>
      <c r="C246" s="112"/>
      <c r="D246" s="112"/>
      <c r="E246" s="205"/>
      <c r="F246" s="206"/>
      <c r="G246" s="205"/>
      <c r="H246" s="206"/>
      <c r="I246" s="205"/>
      <c r="J246" s="206"/>
      <c r="K246" s="205"/>
      <c r="L246" s="206"/>
      <c r="M246" s="205"/>
      <c r="N246" s="206"/>
    </row>
    <row r="247" spans="1:14" s="1" customFormat="1" ht="12.75">
      <c r="A247" s="112"/>
      <c r="B247" s="112"/>
      <c r="C247" s="112"/>
      <c r="D247" s="112"/>
      <c r="E247" s="205"/>
      <c r="F247" s="206"/>
      <c r="G247" s="205"/>
      <c r="H247" s="206"/>
      <c r="I247" s="205"/>
      <c r="J247" s="206"/>
      <c r="K247" s="205"/>
      <c r="L247" s="206"/>
      <c r="M247" s="205"/>
      <c r="N247" s="206"/>
    </row>
    <row r="248" spans="1:14" s="1" customFormat="1" ht="12.75">
      <c r="A248" s="112"/>
      <c r="B248" s="112"/>
      <c r="C248" s="112"/>
      <c r="D248" s="112"/>
      <c r="E248" s="205"/>
      <c r="F248" s="206"/>
      <c r="G248" s="205"/>
      <c r="H248" s="206"/>
      <c r="I248" s="205"/>
      <c r="J248" s="206"/>
      <c r="K248" s="205"/>
      <c r="L248" s="206"/>
      <c r="M248" s="205"/>
      <c r="N248" s="206"/>
    </row>
    <row r="249" spans="1:14" s="1" customFormat="1" ht="12.75">
      <c r="A249" s="112"/>
      <c r="B249" s="112"/>
      <c r="C249" s="112"/>
      <c r="D249" s="112"/>
      <c r="E249" s="205"/>
      <c r="F249" s="206"/>
      <c r="G249" s="205"/>
      <c r="H249" s="206"/>
      <c r="I249" s="205"/>
      <c r="J249" s="206"/>
      <c r="K249" s="205"/>
      <c r="L249" s="206"/>
      <c r="M249" s="205"/>
      <c r="N249" s="206"/>
    </row>
    <row r="250" spans="1:14" s="1" customFormat="1" ht="12.75">
      <c r="A250" s="112"/>
      <c r="B250" s="112"/>
      <c r="C250" s="112"/>
      <c r="D250" s="112"/>
      <c r="E250" s="205"/>
      <c r="F250" s="206"/>
      <c r="G250" s="205"/>
      <c r="H250" s="206"/>
      <c r="I250" s="205"/>
      <c r="J250" s="206"/>
      <c r="K250" s="205"/>
      <c r="L250" s="206"/>
      <c r="M250" s="205"/>
      <c r="N250" s="206"/>
    </row>
    <row r="251" spans="1:14" s="1" customFormat="1" ht="12.75">
      <c r="A251" s="112"/>
      <c r="B251" s="112"/>
      <c r="C251" s="112"/>
      <c r="D251" s="112"/>
      <c r="E251" s="205"/>
      <c r="F251" s="206"/>
      <c r="G251" s="205"/>
      <c r="H251" s="206"/>
      <c r="I251" s="205"/>
      <c r="J251" s="206"/>
      <c r="K251" s="205"/>
      <c r="L251" s="206"/>
      <c r="M251" s="205"/>
      <c r="N251" s="206"/>
    </row>
    <row r="252" spans="1:14" s="1" customFormat="1" ht="12.75">
      <c r="A252" s="112"/>
      <c r="B252" s="112"/>
      <c r="C252" s="112"/>
      <c r="D252" s="112"/>
      <c r="E252" s="205"/>
      <c r="F252" s="206"/>
      <c r="G252" s="205"/>
      <c r="H252" s="206"/>
      <c r="I252" s="205"/>
      <c r="J252" s="206"/>
      <c r="K252" s="205"/>
      <c r="L252" s="206"/>
      <c r="M252" s="205"/>
      <c r="N252" s="206"/>
    </row>
    <row r="253" spans="1:14" s="1" customFormat="1" ht="12.75">
      <c r="A253" s="112"/>
      <c r="B253" s="112"/>
      <c r="C253" s="112"/>
      <c r="D253" s="112"/>
      <c r="E253" s="205"/>
      <c r="F253" s="206"/>
      <c r="G253" s="205"/>
      <c r="H253" s="206"/>
      <c r="I253" s="205"/>
      <c r="J253" s="206"/>
      <c r="K253" s="205"/>
      <c r="L253" s="206"/>
      <c r="M253" s="205"/>
      <c r="N253" s="206"/>
    </row>
    <row r="254" spans="1:14" s="1" customFormat="1" ht="12.75">
      <c r="A254" s="112"/>
      <c r="B254" s="112"/>
      <c r="C254" s="112"/>
      <c r="D254" s="112"/>
      <c r="E254" s="205"/>
      <c r="F254" s="206"/>
      <c r="G254" s="205"/>
      <c r="H254" s="206"/>
      <c r="I254" s="205"/>
      <c r="J254" s="206"/>
      <c r="K254" s="205"/>
      <c r="L254" s="206"/>
      <c r="M254" s="205"/>
      <c r="N254" s="206"/>
    </row>
    <row r="255" spans="1:14" s="1" customFormat="1" ht="12.75">
      <c r="A255" s="112"/>
      <c r="B255" s="112"/>
      <c r="C255" s="112"/>
      <c r="D255" s="112"/>
      <c r="E255" s="205"/>
      <c r="F255" s="206"/>
      <c r="G255" s="205"/>
      <c r="H255" s="206"/>
      <c r="I255" s="205"/>
      <c r="J255" s="206"/>
      <c r="K255" s="205"/>
      <c r="L255" s="206"/>
      <c r="M255" s="205"/>
      <c r="N255" s="206"/>
    </row>
    <row r="256" spans="1:14" s="1" customFormat="1" ht="12.75">
      <c r="A256" s="112"/>
      <c r="B256" s="112"/>
      <c r="C256" s="112"/>
      <c r="D256" s="112"/>
      <c r="E256" s="205"/>
      <c r="F256" s="206"/>
      <c r="G256" s="205"/>
      <c r="H256" s="206"/>
      <c r="I256" s="205"/>
      <c r="J256" s="206"/>
      <c r="K256" s="205"/>
      <c r="L256" s="206"/>
      <c r="M256" s="205"/>
      <c r="N256" s="206"/>
    </row>
    <row r="257" spans="1:14" s="1" customFormat="1" ht="12.75">
      <c r="A257" s="112"/>
      <c r="B257" s="112"/>
      <c r="C257" s="112"/>
      <c r="D257" s="112"/>
      <c r="E257" s="205"/>
      <c r="F257" s="206"/>
      <c r="G257" s="205"/>
      <c r="H257" s="206"/>
      <c r="I257" s="205"/>
      <c r="J257" s="206"/>
      <c r="K257" s="205"/>
      <c r="L257" s="206"/>
      <c r="M257" s="205"/>
      <c r="N257" s="206"/>
    </row>
    <row r="258" spans="1:14" s="1" customFormat="1" ht="12.75">
      <c r="A258" s="112"/>
      <c r="B258" s="112"/>
      <c r="C258" s="112"/>
      <c r="D258" s="112"/>
      <c r="E258" s="205"/>
      <c r="F258" s="206"/>
      <c r="G258" s="205"/>
      <c r="H258" s="206"/>
      <c r="I258" s="205"/>
      <c r="J258" s="206"/>
      <c r="K258" s="205"/>
      <c r="L258" s="206"/>
      <c r="M258" s="205"/>
      <c r="N258" s="206"/>
    </row>
    <row r="259" spans="1:14" s="1" customFormat="1" ht="12.75">
      <c r="A259" s="112"/>
      <c r="B259" s="112"/>
      <c r="C259" s="112"/>
      <c r="D259" s="112"/>
      <c r="E259" s="205"/>
      <c r="F259" s="206"/>
      <c r="G259" s="205"/>
      <c r="H259" s="206"/>
      <c r="I259" s="205"/>
      <c r="J259" s="206"/>
      <c r="K259" s="205"/>
      <c r="L259" s="206"/>
      <c r="M259" s="205"/>
      <c r="N259" s="206"/>
    </row>
    <row r="260" spans="1:14" s="1" customFormat="1" ht="12.75">
      <c r="A260" s="112"/>
      <c r="B260" s="112"/>
      <c r="C260" s="112"/>
      <c r="D260" s="112"/>
      <c r="E260" s="205"/>
      <c r="F260" s="206"/>
      <c r="G260" s="205"/>
      <c r="H260" s="206"/>
      <c r="I260" s="205"/>
      <c r="J260" s="206"/>
      <c r="K260" s="205"/>
      <c r="L260" s="206"/>
      <c r="M260" s="205"/>
      <c r="N260" s="206"/>
    </row>
    <row r="261" spans="1:14" s="1" customFormat="1" ht="12.75">
      <c r="A261" s="112"/>
      <c r="B261" s="112"/>
      <c r="C261" s="112"/>
      <c r="D261" s="112"/>
      <c r="E261" s="205"/>
      <c r="F261" s="206"/>
      <c r="G261" s="205"/>
      <c r="H261" s="206"/>
      <c r="I261" s="205"/>
      <c r="J261" s="206"/>
      <c r="K261" s="205"/>
      <c r="L261" s="206"/>
      <c r="M261" s="205"/>
      <c r="N261" s="206"/>
    </row>
    <row r="262" spans="1:14" s="1" customFormat="1" ht="12.75">
      <c r="A262" s="112"/>
      <c r="B262" s="112"/>
      <c r="C262" s="112"/>
      <c r="D262" s="112"/>
      <c r="E262" s="205"/>
      <c r="F262" s="206"/>
      <c r="G262" s="205"/>
      <c r="H262" s="206"/>
      <c r="I262" s="205"/>
      <c r="J262" s="206"/>
      <c r="K262" s="205"/>
      <c r="L262" s="206"/>
      <c r="M262" s="205"/>
      <c r="N262" s="206"/>
    </row>
    <row r="263" spans="1:14" s="1" customFormat="1" ht="12.75">
      <c r="A263" s="112"/>
      <c r="B263" s="112"/>
      <c r="C263" s="112"/>
      <c r="D263" s="112"/>
      <c r="E263" s="205"/>
      <c r="F263" s="206"/>
      <c r="G263" s="205"/>
      <c r="H263" s="206"/>
      <c r="I263" s="205"/>
      <c r="J263" s="206"/>
      <c r="K263" s="205"/>
      <c r="L263" s="206"/>
      <c r="M263" s="205"/>
      <c r="N263" s="206"/>
    </row>
    <row r="264" spans="1:14" s="1" customFormat="1" ht="12.75">
      <c r="A264" s="112"/>
      <c r="B264" s="112"/>
      <c r="C264" s="112"/>
      <c r="D264" s="112"/>
      <c r="E264" s="205"/>
      <c r="F264" s="206"/>
      <c r="G264" s="205"/>
      <c r="H264" s="206"/>
      <c r="I264" s="205"/>
      <c r="J264" s="206"/>
      <c r="K264" s="205"/>
      <c r="L264" s="206"/>
      <c r="M264" s="205"/>
      <c r="N264" s="206"/>
    </row>
    <row r="265" spans="1:14" s="1" customFormat="1" ht="12.75">
      <c r="A265" s="112"/>
      <c r="B265" s="112"/>
      <c r="C265" s="112"/>
      <c r="D265" s="112"/>
      <c r="E265" s="205"/>
      <c r="F265" s="206"/>
      <c r="G265" s="205"/>
      <c r="H265" s="206"/>
      <c r="I265" s="205"/>
      <c r="J265" s="206"/>
      <c r="K265" s="205"/>
      <c r="L265" s="206"/>
      <c r="M265" s="205"/>
      <c r="N265" s="206"/>
    </row>
    <row r="266" spans="1:14" s="1" customFormat="1" ht="12.75">
      <c r="A266" s="112"/>
      <c r="B266" s="112"/>
      <c r="C266" s="112"/>
      <c r="D266" s="112"/>
      <c r="E266" s="205"/>
      <c r="F266" s="206"/>
      <c r="G266" s="205"/>
      <c r="H266" s="206"/>
      <c r="I266" s="205"/>
      <c r="J266" s="206"/>
      <c r="K266" s="205"/>
      <c r="L266" s="206"/>
      <c r="M266" s="205"/>
      <c r="N266" s="206"/>
    </row>
    <row r="267" spans="1:14" s="1" customFormat="1" ht="12.75">
      <c r="A267" s="112"/>
      <c r="B267" s="112"/>
      <c r="C267" s="112"/>
      <c r="D267" s="112"/>
      <c r="E267" s="205"/>
      <c r="F267" s="206"/>
      <c r="G267" s="205"/>
      <c r="H267" s="206"/>
      <c r="I267" s="205"/>
      <c r="J267" s="206"/>
      <c r="K267" s="205"/>
      <c r="L267" s="206"/>
      <c r="M267" s="205"/>
      <c r="N267" s="206"/>
    </row>
    <row r="268" spans="1:14" s="1" customFormat="1" ht="12.75">
      <c r="A268" s="112"/>
      <c r="B268" s="112"/>
      <c r="C268" s="112"/>
      <c r="D268" s="112"/>
      <c r="E268" s="205"/>
      <c r="F268" s="206"/>
      <c r="G268" s="205"/>
      <c r="H268" s="206"/>
      <c r="I268" s="205"/>
      <c r="J268" s="206"/>
      <c r="K268" s="205"/>
      <c r="L268" s="206"/>
      <c r="M268" s="205"/>
      <c r="N268" s="206"/>
    </row>
    <row r="269" spans="1:14" s="1" customFormat="1" ht="12.75">
      <c r="A269" s="112"/>
      <c r="B269" s="112"/>
      <c r="C269" s="112"/>
      <c r="D269" s="112"/>
      <c r="E269" s="205"/>
      <c r="F269" s="206"/>
      <c r="G269" s="205"/>
      <c r="H269" s="206"/>
      <c r="I269" s="205"/>
      <c r="J269" s="206"/>
      <c r="K269" s="205"/>
      <c r="L269" s="206"/>
      <c r="M269" s="205"/>
      <c r="N269" s="206"/>
    </row>
    <row r="270" spans="1:14" s="1" customFormat="1" ht="12.75">
      <c r="A270" s="112"/>
      <c r="B270" s="112"/>
      <c r="C270" s="112"/>
      <c r="D270" s="112"/>
      <c r="E270" s="205"/>
      <c r="F270" s="206"/>
      <c r="G270" s="205"/>
      <c r="H270" s="206"/>
      <c r="I270" s="205"/>
      <c r="J270" s="206"/>
      <c r="K270" s="205"/>
      <c r="L270" s="206"/>
      <c r="M270" s="205"/>
      <c r="N270" s="206"/>
    </row>
    <row r="271" spans="1:14" s="1" customFormat="1" ht="12.75">
      <c r="A271" s="112"/>
      <c r="B271" s="112"/>
      <c r="C271" s="112"/>
      <c r="D271" s="112"/>
      <c r="E271" s="205"/>
      <c r="F271" s="206"/>
      <c r="G271" s="205"/>
      <c r="H271" s="206"/>
      <c r="I271" s="205"/>
      <c r="J271" s="206"/>
      <c r="K271" s="205"/>
      <c r="L271" s="206"/>
      <c r="M271" s="205"/>
      <c r="N271" s="206"/>
    </row>
    <row r="272" spans="1:14" s="1" customFormat="1" ht="12.75">
      <c r="A272" s="112"/>
      <c r="B272" s="112"/>
      <c r="C272" s="112"/>
      <c r="D272" s="112"/>
      <c r="E272" s="205"/>
      <c r="F272" s="206"/>
      <c r="G272" s="205"/>
      <c r="H272" s="206"/>
      <c r="I272" s="205"/>
      <c r="J272" s="206"/>
      <c r="K272" s="205"/>
      <c r="L272" s="206"/>
      <c r="M272" s="205"/>
      <c r="N272" s="206"/>
    </row>
    <row r="273" spans="1:14" s="1" customFormat="1" ht="12.75">
      <c r="A273" s="112"/>
      <c r="B273" s="112"/>
      <c r="C273" s="112"/>
      <c r="D273" s="112"/>
      <c r="E273" s="205"/>
      <c r="F273" s="206"/>
      <c r="G273" s="205"/>
      <c r="H273" s="206"/>
      <c r="I273" s="205"/>
      <c r="J273" s="206"/>
      <c r="K273" s="205"/>
      <c r="L273" s="206"/>
      <c r="M273" s="205"/>
      <c r="N273" s="206"/>
    </row>
    <row r="274" spans="1:14" s="1" customFormat="1" ht="12.75">
      <c r="A274" s="112"/>
      <c r="B274" s="112"/>
      <c r="C274" s="112"/>
      <c r="D274" s="112"/>
      <c r="E274" s="205"/>
      <c r="F274" s="206"/>
      <c r="G274" s="205"/>
      <c r="H274" s="206"/>
      <c r="I274" s="205"/>
      <c r="J274" s="206"/>
      <c r="K274" s="205"/>
      <c r="L274" s="206"/>
      <c r="M274" s="205"/>
      <c r="N274" s="206"/>
    </row>
    <row r="275" spans="1:14" s="1" customFormat="1" ht="12.75">
      <c r="A275" s="112"/>
      <c r="B275" s="112"/>
      <c r="C275" s="112"/>
      <c r="D275" s="112"/>
      <c r="E275" s="205"/>
      <c r="F275" s="206"/>
      <c r="G275" s="205"/>
      <c r="H275" s="206"/>
      <c r="I275" s="205"/>
      <c r="J275" s="206"/>
      <c r="K275" s="205"/>
      <c r="L275" s="206"/>
      <c r="M275" s="205"/>
      <c r="N275" s="206"/>
    </row>
    <row r="276" spans="1:14" s="1" customFormat="1" ht="12.75">
      <c r="A276" s="112"/>
      <c r="B276" s="112"/>
      <c r="C276" s="112"/>
      <c r="D276" s="112"/>
      <c r="E276" s="205"/>
      <c r="F276" s="206"/>
      <c r="G276" s="205"/>
      <c r="H276" s="206"/>
      <c r="I276" s="205"/>
      <c r="J276" s="206"/>
      <c r="K276" s="205"/>
      <c r="L276" s="206"/>
      <c r="M276" s="205"/>
      <c r="N276" s="206"/>
    </row>
    <row r="277" spans="1:14" s="1" customFormat="1" ht="12.75">
      <c r="A277" s="112"/>
      <c r="B277" s="112"/>
      <c r="C277" s="112"/>
      <c r="D277" s="112"/>
      <c r="E277" s="205"/>
      <c r="F277" s="206"/>
      <c r="G277" s="205"/>
      <c r="H277" s="206"/>
      <c r="I277" s="205"/>
      <c r="J277" s="206"/>
      <c r="K277" s="205"/>
      <c r="L277" s="206"/>
      <c r="M277" s="205"/>
      <c r="N277" s="206"/>
    </row>
    <row r="278" spans="1:14" s="1" customFormat="1" ht="12.75">
      <c r="A278" s="112"/>
      <c r="B278" s="112"/>
      <c r="C278" s="112"/>
      <c r="D278" s="112"/>
      <c r="E278" s="205"/>
      <c r="F278" s="206"/>
      <c r="G278" s="205"/>
      <c r="H278" s="206"/>
      <c r="I278" s="205"/>
      <c r="J278" s="206"/>
      <c r="K278" s="205"/>
      <c r="L278" s="206"/>
      <c r="M278" s="205"/>
      <c r="N278" s="206"/>
    </row>
    <row r="279" spans="1:14" s="1" customFormat="1" ht="12.75">
      <c r="A279" s="112"/>
      <c r="B279" s="112"/>
      <c r="C279" s="112"/>
      <c r="D279" s="112"/>
      <c r="E279" s="205"/>
      <c r="F279" s="206"/>
      <c r="G279" s="205"/>
      <c r="H279" s="206"/>
      <c r="I279" s="205"/>
      <c r="J279" s="206"/>
      <c r="K279" s="205"/>
      <c r="L279" s="206"/>
      <c r="M279" s="205"/>
      <c r="N279" s="206"/>
    </row>
    <row r="280" spans="1:14" s="1" customFormat="1" ht="12.75">
      <c r="A280" s="112"/>
      <c r="B280" s="112"/>
      <c r="C280" s="112"/>
      <c r="D280" s="112"/>
      <c r="E280" s="205"/>
      <c r="F280" s="206"/>
      <c r="G280" s="205"/>
      <c r="H280" s="206"/>
      <c r="I280" s="205"/>
      <c r="J280" s="206"/>
      <c r="K280" s="205"/>
      <c r="L280" s="206"/>
      <c r="M280" s="205"/>
      <c r="N280" s="206"/>
    </row>
    <row r="281" spans="1:14" s="1" customFormat="1" ht="12.75">
      <c r="A281" s="112"/>
      <c r="B281" s="112"/>
      <c r="C281" s="112"/>
      <c r="D281" s="112"/>
      <c r="E281" s="205"/>
      <c r="F281" s="206"/>
      <c r="G281" s="205"/>
      <c r="H281" s="206"/>
      <c r="I281" s="205"/>
      <c r="J281" s="206"/>
      <c r="K281" s="205"/>
      <c r="L281" s="206"/>
      <c r="M281" s="205"/>
      <c r="N281" s="206"/>
    </row>
    <row r="282" spans="1:14" s="1" customFormat="1" ht="12.75">
      <c r="A282" s="112"/>
      <c r="B282" s="112"/>
      <c r="C282" s="112"/>
      <c r="D282" s="112"/>
      <c r="E282" s="205"/>
      <c r="F282" s="206"/>
      <c r="G282" s="205"/>
      <c r="H282" s="206"/>
      <c r="I282" s="205"/>
      <c r="J282" s="206"/>
      <c r="K282" s="205"/>
      <c r="L282" s="206"/>
      <c r="M282" s="205"/>
      <c r="N282" s="206"/>
    </row>
    <row r="283" spans="1:14" s="1" customFormat="1" ht="12.75">
      <c r="A283" s="112"/>
      <c r="B283" s="112"/>
      <c r="C283" s="112"/>
      <c r="D283" s="112"/>
      <c r="E283" s="205"/>
      <c r="F283" s="206"/>
      <c r="G283" s="205"/>
      <c r="H283" s="206"/>
      <c r="I283" s="205"/>
      <c r="J283" s="206"/>
      <c r="K283" s="205"/>
      <c r="L283" s="206"/>
      <c r="M283" s="205"/>
      <c r="N283" s="206"/>
    </row>
    <row r="284" spans="1:14" s="1" customFormat="1" ht="12.75">
      <c r="A284" s="112"/>
      <c r="B284" s="112"/>
      <c r="C284" s="112"/>
      <c r="D284" s="112"/>
      <c r="E284" s="205"/>
      <c r="F284" s="206"/>
      <c r="G284" s="205"/>
      <c r="H284" s="206"/>
      <c r="I284" s="205"/>
      <c r="J284" s="206"/>
      <c r="K284" s="205"/>
      <c r="L284" s="206"/>
      <c r="M284" s="205"/>
      <c r="N284" s="206"/>
    </row>
    <row r="285" spans="1:14" s="1" customFormat="1" ht="12.75">
      <c r="A285" s="112"/>
      <c r="B285" s="112"/>
      <c r="C285" s="112"/>
      <c r="D285" s="112"/>
      <c r="E285" s="205"/>
      <c r="F285" s="206"/>
      <c r="G285" s="205"/>
      <c r="H285" s="206"/>
      <c r="I285" s="205"/>
      <c r="J285" s="206"/>
      <c r="K285" s="205"/>
      <c r="L285" s="206"/>
      <c r="M285" s="205"/>
      <c r="N285" s="206"/>
    </row>
    <row r="286" spans="1:14" s="1" customFormat="1" ht="12.75">
      <c r="A286" s="112"/>
      <c r="B286" s="112"/>
      <c r="C286" s="112"/>
      <c r="D286" s="112"/>
      <c r="E286" s="205"/>
      <c r="F286" s="206"/>
      <c r="G286" s="205"/>
      <c r="H286" s="206"/>
      <c r="I286" s="205"/>
      <c r="J286" s="206"/>
      <c r="K286" s="205"/>
      <c r="L286" s="206"/>
      <c r="M286" s="205"/>
      <c r="N286" s="206"/>
    </row>
    <row r="287" spans="1:14" s="1" customFormat="1" ht="12.75">
      <c r="A287" s="112"/>
      <c r="B287" s="112"/>
      <c r="C287" s="112"/>
      <c r="D287" s="112"/>
      <c r="E287" s="205"/>
      <c r="F287" s="206"/>
      <c r="G287" s="205"/>
      <c r="H287" s="206"/>
      <c r="I287" s="205"/>
      <c r="J287" s="206"/>
      <c r="K287" s="205"/>
      <c r="L287" s="206"/>
      <c r="M287" s="205"/>
      <c r="N287" s="206"/>
    </row>
    <row r="288" spans="1:14" s="1" customFormat="1" ht="12.75">
      <c r="A288" s="112"/>
      <c r="B288" s="112"/>
      <c r="C288" s="112"/>
      <c r="D288" s="112"/>
      <c r="E288" s="205"/>
      <c r="F288" s="206"/>
      <c r="G288" s="205"/>
      <c r="H288" s="206"/>
      <c r="I288" s="205"/>
      <c r="J288" s="206"/>
      <c r="K288" s="205"/>
      <c r="L288" s="206"/>
      <c r="M288" s="205"/>
      <c r="N288" s="206"/>
    </row>
    <row r="289" spans="1:14" s="1" customFormat="1" ht="12.75">
      <c r="A289" s="112"/>
      <c r="B289" s="112"/>
      <c r="C289" s="112"/>
      <c r="D289" s="112"/>
      <c r="E289" s="205"/>
      <c r="F289" s="206"/>
      <c r="G289" s="205"/>
      <c r="H289" s="206"/>
      <c r="I289" s="205"/>
      <c r="J289" s="206"/>
      <c r="K289" s="205"/>
      <c r="L289" s="206"/>
      <c r="M289" s="205"/>
      <c r="N289" s="206"/>
    </row>
    <row r="290" spans="1:14" s="1" customFormat="1" ht="12.75">
      <c r="A290" s="112"/>
      <c r="B290" s="112"/>
      <c r="C290" s="112"/>
      <c r="D290" s="112"/>
      <c r="E290" s="205"/>
      <c r="F290" s="206"/>
      <c r="G290" s="205"/>
      <c r="H290" s="206"/>
      <c r="I290" s="205"/>
      <c r="J290" s="206"/>
      <c r="K290" s="205"/>
      <c r="L290" s="206"/>
      <c r="M290" s="205"/>
      <c r="N290" s="206"/>
    </row>
    <row r="291" spans="1:14" s="1" customFormat="1" ht="12.75">
      <c r="A291" s="112"/>
      <c r="B291" s="112"/>
      <c r="C291" s="112"/>
      <c r="D291" s="112"/>
      <c r="E291" s="205"/>
      <c r="F291" s="206"/>
      <c r="G291" s="205"/>
      <c r="H291" s="206"/>
      <c r="I291" s="205"/>
      <c r="J291" s="206"/>
      <c r="K291" s="205"/>
      <c r="L291" s="206"/>
      <c r="M291" s="205"/>
      <c r="N291" s="206"/>
    </row>
    <row r="292" spans="1:14" s="1" customFormat="1" ht="12.75">
      <c r="A292" s="112"/>
      <c r="B292" s="112"/>
      <c r="C292" s="112"/>
      <c r="D292" s="112"/>
      <c r="E292" s="205"/>
      <c r="F292" s="206"/>
      <c r="G292" s="205"/>
      <c r="H292" s="206"/>
      <c r="I292" s="205"/>
      <c r="J292" s="206"/>
      <c r="K292" s="205"/>
      <c r="L292" s="206"/>
      <c r="M292" s="205"/>
      <c r="N292" s="206"/>
    </row>
    <row r="293" spans="1:14" s="1" customFormat="1" ht="12.75">
      <c r="A293" s="112"/>
      <c r="B293" s="112"/>
      <c r="C293" s="112"/>
      <c r="D293" s="112"/>
      <c r="E293" s="205"/>
      <c r="F293" s="206"/>
      <c r="G293" s="205"/>
      <c r="H293" s="206"/>
      <c r="I293" s="205"/>
      <c r="J293" s="206"/>
      <c r="K293" s="205"/>
      <c r="L293" s="206"/>
      <c r="M293" s="205"/>
      <c r="N293" s="206"/>
    </row>
    <row r="294" spans="1:14" s="1" customFormat="1" ht="12.75">
      <c r="A294" s="112"/>
      <c r="B294" s="112"/>
      <c r="C294" s="112"/>
      <c r="D294" s="112"/>
      <c r="E294" s="205"/>
      <c r="F294" s="206"/>
      <c r="G294" s="205"/>
      <c r="H294" s="206"/>
      <c r="I294" s="205"/>
      <c r="J294" s="206"/>
      <c r="K294" s="205"/>
      <c r="L294" s="206"/>
      <c r="M294" s="205"/>
      <c r="N294" s="206"/>
    </row>
    <row r="295" spans="1:14" s="1" customFormat="1" ht="12.75">
      <c r="A295" s="112"/>
      <c r="B295" s="112"/>
      <c r="C295" s="112"/>
      <c r="D295" s="112"/>
      <c r="E295" s="205"/>
      <c r="F295" s="206"/>
      <c r="G295" s="205"/>
      <c r="H295" s="206"/>
      <c r="I295" s="205"/>
      <c r="J295" s="206"/>
      <c r="K295" s="205"/>
      <c r="L295" s="206"/>
      <c r="M295" s="205"/>
      <c r="N295" s="206"/>
    </row>
    <row r="296" spans="1:14" s="1" customFormat="1" ht="12.75">
      <c r="A296" s="112"/>
      <c r="B296" s="112"/>
      <c r="C296" s="112"/>
      <c r="D296" s="112"/>
      <c r="E296" s="205"/>
      <c r="F296" s="206"/>
      <c r="G296" s="205"/>
      <c r="H296" s="206"/>
      <c r="I296" s="205"/>
      <c r="J296" s="206"/>
      <c r="K296" s="205"/>
      <c r="L296" s="206"/>
      <c r="M296" s="205"/>
      <c r="N296" s="206"/>
    </row>
    <row r="297" spans="1:14" s="1" customFormat="1" ht="12.75">
      <c r="A297" s="112"/>
      <c r="B297" s="112"/>
      <c r="C297" s="112"/>
      <c r="D297" s="112"/>
      <c r="E297" s="205"/>
      <c r="F297" s="206"/>
      <c r="G297" s="205"/>
      <c r="H297" s="206"/>
      <c r="I297" s="205"/>
      <c r="J297" s="206"/>
      <c r="K297" s="205"/>
      <c r="L297" s="206"/>
      <c r="M297" s="205"/>
      <c r="N297" s="206"/>
    </row>
    <row r="298" spans="1:14" s="1" customFormat="1" ht="12.75">
      <c r="A298" s="112"/>
      <c r="B298" s="112"/>
      <c r="C298" s="112"/>
      <c r="D298" s="112"/>
      <c r="E298" s="205"/>
      <c r="F298" s="206"/>
      <c r="G298" s="205"/>
      <c r="H298" s="206"/>
      <c r="I298" s="205"/>
      <c r="J298" s="206"/>
      <c r="K298" s="205"/>
      <c r="L298" s="206"/>
      <c r="M298" s="205"/>
      <c r="N298" s="206"/>
    </row>
    <row r="299" spans="1:14" s="1" customFormat="1" ht="12.75">
      <c r="A299" s="112"/>
      <c r="B299" s="112"/>
      <c r="C299" s="112"/>
      <c r="D299" s="112"/>
      <c r="E299" s="205"/>
      <c r="F299" s="206"/>
      <c r="G299" s="205"/>
      <c r="H299" s="206"/>
      <c r="I299" s="205"/>
      <c r="J299" s="206"/>
      <c r="K299" s="205"/>
      <c r="L299" s="206"/>
      <c r="M299" s="205"/>
      <c r="N299" s="206"/>
    </row>
    <row r="300" spans="1:14" s="1" customFormat="1" ht="12.75">
      <c r="A300" s="112"/>
      <c r="B300" s="112"/>
      <c r="C300" s="112"/>
      <c r="D300" s="112"/>
      <c r="E300" s="205"/>
      <c r="F300" s="206"/>
      <c r="G300" s="205"/>
      <c r="H300" s="206"/>
      <c r="I300" s="205"/>
      <c r="J300" s="206"/>
      <c r="K300" s="205"/>
      <c r="L300" s="206"/>
      <c r="M300" s="205"/>
      <c r="N300" s="206"/>
    </row>
    <row r="301" spans="1:14" s="1" customFormat="1" ht="12.75">
      <c r="A301" s="112"/>
      <c r="B301" s="112"/>
      <c r="C301" s="112"/>
      <c r="D301" s="112"/>
      <c r="E301" s="205"/>
      <c r="F301" s="206"/>
      <c r="G301" s="205"/>
      <c r="H301" s="206"/>
      <c r="I301" s="205"/>
      <c r="J301" s="206"/>
      <c r="K301" s="205"/>
      <c r="L301" s="206"/>
      <c r="M301" s="205"/>
      <c r="N301" s="206"/>
    </row>
    <row r="302" spans="1:14" s="1" customFormat="1" ht="12.75">
      <c r="A302" s="112"/>
      <c r="B302" s="112"/>
      <c r="C302" s="112"/>
      <c r="D302" s="112"/>
      <c r="E302" s="205"/>
      <c r="F302" s="206"/>
      <c r="G302" s="205"/>
      <c r="H302" s="206"/>
      <c r="I302" s="205"/>
      <c r="J302" s="206"/>
      <c r="K302" s="205"/>
      <c r="L302" s="206"/>
      <c r="M302" s="205"/>
      <c r="N302" s="206"/>
    </row>
    <row r="303" spans="1:14" s="1" customFormat="1" ht="12.75">
      <c r="A303" s="112"/>
      <c r="B303" s="112"/>
      <c r="C303" s="112"/>
      <c r="D303" s="112"/>
      <c r="E303" s="205"/>
      <c r="F303" s="206"/>
      <c r="G303" s="205"/>
      <c r="H303" s="206"/>
      <c r="I303" s="205"/>
      <c r="J303" s="206"/>
      <c r="K303" s="205"/>
      <c r="L303" s="206"/>
      <c r="M303" s="205"/>
      <c r="N303" s="206"/>
    </row>
    <row r="304" spans="1:14" s="1" customFormat="1" ht="12.75">
      <c r="A304" s="112"/>
      <c r="B304" s="112"/>
      <c r="C304" s="112"/>
      <c r="D304" s="112"/>
      <c r="E304" s="205"/>
      <c r="F304" s="206"/>
      <c r="G304" s="205"/>
      <c r="H304" s="206"/>
      <c r="I304" s="205"/>
      <c r="J304" s="206"/>
      <c r="K304" s="205"/>
      <c r="L304" s="206"/>
      <c r="M304" s="205"/>
      <c r="N304" s="206"/>
    </row>
    <row r="305" spans="1:14" s="1" customFormat="1" ht="12.75">
      <c r="A305" s="112"/>
      <c r="B305" s="112"/>
      <c r="C305" s="112"/>
      <c r="D305" s="112"/>
      <c r="E305" s="205"/>
      <c r="F305" s="206"/>
      <c r="G305" s="205"/>
      <c r="H305" s="206"/>
      <c r="I305" s="205"/>
      <c r="J305" s="206"/>
      <c r="K305" s="205"/>
      <c r="L305" s="206"/>
      <c r="M305" s="205"/>
      <c r="N305" s="206"/>
    </row>
    <row r="306" spans="1:14" s="1" customFormat="1" ht="12.75">
      <c r="A306" s="112"/>
      <c r="B306" s="112"/>
      <c r="C306" s="112"/>
      <c r="D306" s="112"/>
      <c r="E306" s="205"/>
      <c r="F306" s="206"/>
      <c r="G306" s="205"/>
      <c r="H306" s="206"/>
      <c r="I306" s="205"/>
      <c r="J306" s="206"/>
      <c r="K306" s="205"/>
      <c r="L306" s="206"/>
      <c r="M306" s="205"/>
      <c r="N306" s="206"/>
    </row>
    <row r="307" spans="1:14" s="1" customFormat="1" ht="12.75">
      <c r="A307" s="112"/>
      <c r="B307" s="112"/>
      <c r="C307" s="112"/>
      <c r="D307" s="112"/>
      <c r="E307" s="205"/>
      <c r="F307" s="206"/>
      <c r="G307" s="205"/>
      <c r="H307" s="206"/>
      <c r="I307" s="205"/>
      <c r="J307" s="206"/>
      <c r="K307" s="205"/>
      <c r="L307" s="206"/>
      <c r="M307" s="205"/>
      <c r="N307" s="206"/>
    </row>
    <row r="308" spans="1:14" s="1" customFormat="1" ht="12.75">
      <c r="A308" s="112"/>
      <c r="B308" s="112"/>
      <c r="C308" s="112"/>
      <c r="D308" s="112"/>
      <c r="E308" s="205"/>
      <c r="F308" s="206"/>
      <c r="G308" s="205"/>
      <c r="H308" s="206"/>
      <c r="I308" s="205"/>
      <c r="J308" s="206"/>
      <c r="K308" s="205"/>
      <c r="L308" s="206"/>
      <c r="M308" s="205"/>
      <c r="N308" s="206"/>
    </row>
    <row r="309" spans="1:14" s="1" customFormat="1" ht="12.75">
      <c r="A309" s="112"/>
      <c r="B309" s="112"/>
      <c r="C309" s="112"/>
      <c r="D309" s="112"/>
      <c r="E309" s="205"/>
      <c r="F309" s="206"/>
      <c r="G309" s="205"/>
      <c r="H309" s="206"/>
      <c r="I309" s="205"/>
      <c r="J309" s="206"/>
      <c r="K309" s="205"/>
      <c r="L309" s="206"/>
      <c r="M309" s="205"/>
      <c r="N309" s="206"/>
    </row>
    <row r="310" spans="1:14" s="1" customFormat="1" ht="12.75">
      <c r="A310" s="112"/>
      <c r="B310" s="112"/>
      <c r="C310" s="112"/>
      <c r="D310" s="112"/>
      <c r="E310" s="205"/>
      <c r="F310" s="206"/>
      <c r="G310" s="205"/>
      <c r="H310" s="206"/>
      <c r="I310" s="205"/>
      <c r="J310" s="206"/>
      <c r="K310" s="205"/>
      <c r="L310" s="206"/>
      <c r="M310" s="205"/>
      <c r="N310" s="206"/>
    </row>
    <row r="311" spans="1:14" s="1" customFormat="1" ht="12.75">
      <c r="A311" s="112"/>
      <c r="B311" s="112"/>
      <c r="C311" s="112"/>
      <c r="D311" s="112"/>
      <c r="E311" s="205"/>
      <c r="F311" s="206"/>
      <c r="G311" s="205"/>
      <c r="H311" s="206"/>
      <c r="I311" s="205"/>
      <c r="J311" s="206"/>
      <c r="K311" s="205"/>
      <c r="L311" s="206"/>
      <c r="M311" s="205"/>
      <c r="N311" s="206"/>
    </row>
    <row r="312" spans="1:14" s="1" customFormat="1" ht="12.75">
      <c r="A312" s="112"/>
      <c r="B312" s="112"/>
      <c r="C312" s="112"/>
      <c r="D312" s="112"/>
      <c r="E312" s="205"/>
      <c r="F312" s="206"/>
      <c r="G312" s="205"/>
      <c r="H312" s="206"/>
      <c r="I312" s="205"/>
      <c r="J312" s="206"/>
      <c r="K312" s="205"/>
      <c r="L312" s="206"/>
      <c r="M312" s="205"/>
      <c r="N312" s="206"/>
    </row>
    <row r="313" spans="1:14" s="1" customFormat="1" ht="12.75">
      <c r="A313" s="112"/>
      <c r="B313" s="112"/>
      <c r="C313" s="112"/>
      <c r="D313" s="112"/>
      <c r="E313" s="205"/>
      <c r="F313" s="206"/>
      <c r="G313" s="205"/>
      <c r="H313" s="206"/>
      <c r="I313" s="205"/>
      <c r="J313" s="206"/>
      <c r="K313" s="205"/>
      <c r="L313" s="206"/>
      <c r="M313" s="205"/>
      <c r="N313" s="206"/>
    </row>
    <row r="314" spans="1:14" s="1" customFormat="1" ht="12.75">
      <c r="A314" s="112"/>
      <c r="B314" s="112"/>
      <c r="C314" s="112"/>
      <c r="D314" s="112"/>
      <c r="E314" s="205"/>
      <c r="F314" s="206"/>
      <c r="G314" s="205"/>
      <c r="H314" s="206"/>
      <c r="I314" s="205"/>
      <c r="J314" s="206"/>
      <c r="K314" s="205"/>
      <c r="L314" s="206"/>
      <c r="M314" s="205"/>
      <c r="N314" s="206"/>
    </row>
    <row r="315" spans="1:14" s="1" customFormat="1" ht="12.75">
      <c r="A315" s="112"/>
      <c r="B315" s="112"/>
      <c r="C315" s="112"/>
      <c r="D315" s="112"/>
      <c r="E315" s="205"/>
      <c r="F315" s="206"/>
      <c r="G315" s="205"/>
      <c r="H315" s="206"/>
      <c r="I315" s="205"/>
      <c r="J315" s="206"/>
      <c r="K315" s="205"/>
      <c r="L315" s="206"/>
      <c r="M315" s="205"/>
      <c r="N315" s="206"/>
    </row>
    <row r="316" spans="1:14" s="1" customFormat="1" ht="12.75">
      <c r="A316" s="112"/>
      <c r="B316" s="112"/>
      <c r="C316" s="112"/>
      <c r="D316" s="112"/>
      <c r="E316" s="205"/>
      <c r="F316" s="206"/>
      <c r="G316" s="205"/>
      <c r="H316" s="206"/>
      <c r="I316" s="205"/>
      <c r="J316" s="206"/>
      <c r="K316" s="205"/>
      <c r="L316" s="206"/>
      <c r="M316" s="205"/>
      <c r="N316" s="206"/>
    </row>
    <row r="317" spans="1:14" s="1" customFormat="1" ht="12.75">
      <c r="A317" s="112"/>
      <c r="B317" s="112"/>
      <c r="C317" s="112"/>
      <c r="D317" s="112"/>
      <c r="E317" s="205"/>
      <c r="F317" s="206"/>
      <c r="G317" s="205"/>
      <c r="H317" s="206"/>
      <c r="I317" s="205"/>
      <c r="J317" s="206"/>
      <c r="K317" s="205"/>
      <c r="L317" s="206"/>
      <c r="M317" s="205"/>
      <c r="N317" s="206"/>
    </row>
    <row r="318" spans="1:14" s="1" customFormat="1" ht="12.75">
      <c r="A318" s="112"/>
      <c r="B318" s="112"/>
      <c r="C318" s="112"/>
      <c r="D318" s="112"/>
      <c r="E318" s="205"/>
      <c r="F318" s="206"/>
      <c r="G318" s="205"/>
      <c r="H318" s="206"/>
      <c r="I318" s="205"/>
      <c r="J318" s="206"/>
      <c r="K318" s="205"/>
      <c r="L318" s="206"/>
      <c r="M318" s="205"/>
      <c r="N318" s="206"/>
    </row>
    <row r="319" spans="1:14" s="1" customFormat="1" ht="12.75">
      <c r="A319" s="112"/>
      <c r="B319" s="112"/>
      <c r="C319" s="112"/>
      <c r="D319" s="112"/>
      <c r="E319" s="205"/>
      <c r="F319" s="206"/>
      <c r="G319" s="205"/>
      <c r="H319" s="206"/>
      <c r="I319" s="205"/>
      <c r="J319" s="206"/>
      <c r="K319" s="205"/>
      <c r="L319" s="206"/>
      <c r="M319" s="205"/>
      <c r="N319" s="206"/>
    </row>
    <row r="320" spans="1:14" s="1" customFormat="1" ht="12.75">
      <c r="A320" s="112"/>
      <c r="B320" s="112"/>
      <c r="C320" s="112"/>
      <c r="D320" s="112"/>
      <c r="E320" s="205"/>
      <c r="F320" s="206"/>
      <c r="G320" s="205"/>
      <c r="H320" s="206"/>
      <c r="I320" s="205"/>
      <c r="J320" s="206"/>
      <c r="K320" s="205"/>
      <c r="L320" s="206"/>
      <c r="M320" s="205"/>
      <c r="N320" s="206"/>
    </row>
    <row r="321" spans="1:14" s="1" customFormat="1" ht="12.75">
      <c r="A321" s="112"/>
      <c r="B321" s="112"/>
      <c r="C321" s="112"/>
      <c r="D321" s="112"/>
      <c r="E321" s="205"/>
      <c r="F321" s="206"/>
      <c r="G321" s="205"/>
      <c r="H321" s="206"/>
      <c r="I321" s="205"/>
      <c r="J321" s="206"/>
      <c r="K321" s="205"/>
      <c r="L321" s="206"/>
      <c r="M321" s="205"/>
      <c r="N321" s="206"/>
    </row>
    <row r="322" spans="1:14" s="1" customFormat="1" ht="12.75">
      <c r="A322" s="112"/>
      <c r="B322" s="112"/>
      <c r="C322" s="112"/>
      <c r="D322" s="112"/>
      <c r="E322" s="205"/>
      <c r="F322" s="206"/>
      <c r="G322" s="205"/>
      <c r="H322" s="206"/>
      <c r="I322" s="205"/>
      <c r="J322" s="206"/>
      <c r="K322" s="205"/>
      <c r="L322" s="206"/>
      <c r="M322" s="205"/>
      <c r="N322" s="206"/>
    </row>
    <row r="323" spans="1:14" s="1" customFormat="1" ht="12.75">
      <c r="A323" s="112"/>
      <c r="B323" s="112"/>
      <c r="C323" s="112"/>
      <c r="D323" s="112"/>
      <c r="E323" s="205"/>
      <c r="F323" s="206"/>
      <c r="G323" s="205"/>
      <c r="H323" s="206"/>
      <c r="I323" s="205"/>
      <c r="J323" s="206"/>
      <c r="K323" s="205"/>
      <c r="L323" s="206"/>
      <c r="M323" s="205"/>
      <c r="N323" s="206"/>
    </row>
    <row r="324" spans="1:14" s="1" customFormat="1" ht="12.75">
      <c r="A324" s="112"/>
      <c r="B324" s="112"/>
      <c r="C324" s="112"/>
      <c r="D324" s="112"/>
      <c r="E324" s="205"/>
      <c r="F324" s="206"/>
      <c r="G324" s="205"/>
      <c r="H324" s="206"/>
      <c r="I324" s="205"/>
      <c r="J324" s="206"/>
      <c r="K324" s="205"/>
      <c r="L324" s="206"/>
      <c r="M324" s="205"/>
      <c r="N324" s="206"/>
    </row>
    <row r="325" spans="1:14" s="1" customFormat="1" ht="12.75">
      <c r="A325" s="112"/>
      <c r="B325" s="112"/>
      <c r="C325" s="112"/>
      <c r="D325" s="112"/>
      <c r="E325" s="205"/>
      <c r="F325" s="206"/>
      <c r="G325" s="205"/>
      <c r="H325" s="206"/>
      <c r="I325" s="205"/>
      <c r="J325" s="206"/>
      <c r="K325" s="205"/>
      <c r="L325" s="206"/>
      <c r="M325" s="205"/>
      <c r="N325" s="206"/>
    </row>
    <row r="326" spans="1:14" s="1" customFormat="1" ht="12.75">
      <c r="A326" s="112"/>
      <c r="B326" s="112"/>
      <c r="C326" s="112"/>
      <c r="D326" s="112"/>
      <c r="E326" s="205"/>
      <c r="F326" s="206"/>
      <c r="G326" s="205"/>
      <c r="H326" s="206"/>
      <c r="I326" s="205"/>
      <c r="J326" s="206"/>
      <c r="K326" s="205"/>
      <c r="L326" s="206"/>
      <c r="M326" s="205"/>
      <c r="N326" s="206"/>
    </row>
    <row r="327" spans="1:14" s="1" customFormat="1" ht="12.75">
      <c r="A327" s="112"/>
      <c r="B327" s="112"/>
      <c r="C327" s="112"/>
      <c r="D327" s="112"/>
      <c r="E327" s="205"/>
      <c r="F327" s="206"/>
      <c r="G327" s="205"/>
      <c r="H327" s="206"/>
      <c r="I327" s="205"/>
      <c r="J327" s="206"/>
      <c r="K327" s="205"/>
      <c r="L327" s="206"/>
      <c r="M327" s="205"/>
      <c r="N327" s="206"/>
    </row>
    <row r="328" spans="1:14" s="1" customFormat="1" ht="12.75">
      <c r="A328" s="112"/>
      <c r="B328" s="112"/>
      <c r="C328" s="112"/>
      <c r="D328" s="112"/>
      <c r="E328" s="205"/>
      <c r="F328" s="206"/>
      <c r="G328" s="205"/>
      <c r="H328" s="206"/>
      <c r="I328" s="205"/>
      <c r="J328" s="206"/>
      <c r="K328" s="205"/>
      <c r="L328" s="206"/>
      <c r="M328" s="205"/>
      <c r="N328" s="206"/>
    </row>
    <row r="329" spans="1:14" s="1" customFormat="1" ht="12.75">
      <c r="A329" s="112"/>
      <c r="B329" s="112"/>
      <c r="C329" s="112"/>
      <c r="D329" s="112"/>
      <c r="E329" s="205"/>
      <c r="F329" s="206"/>
      <c r="G329" s="205"/>
      <c r="H329" s="206"/>
      <c r="I329" s="205"/>
      <c r="J329" s="206"/>
      <c r="K329" s="205"/>
      <c r="L329" s="206"/>
      <c r="M329" s="205"/>
      <c r="N329" s="206"/>
    </row>
    <row r="330" spans="1:14" s="1" customFormat="1" ht="12.75">
      <c r="A330" s="112"/>
      <c r="B330" s="112"/>
      <c r="C330" s="112"/>
      <c r="D330" s="112"/>
      <c r="E330" s="205"/>
      <c r="F330" s="206"/>
      <c r="G330" s="205"/>
      <c r="H330" s="206"/>
      <c r="I330" s="205"/>
      <c r="J330" s="206"/>
      <c r="K330" s="205"/>
      <c r="L330" s="206"/>
      <c r="M330" s="205"/>
      <c r="N330" s="206"/>
    </row>
    <row r="331" spans="1:14" s="1" customFormat="1" ht="12.75">
      <c r="A331" s="112"/>
      <c r="B331" s="112"/>
      <c r="C331" s="112"/>
      <c r="D331" s="112"/>
      <c r="E331" s="205"/>
      <c r="F331" s="206"/>
      <c r="G331" s="205"/>
      <c r="H331" s="206"/>
      <c r="I331" s="205"/>
      <c r="J331" s="206"/>
      <c r="K331" s="205"/>
      <c r="L331" s="206"/>
      <c r="M331" s="205"/>
      <c r="N331" s="206"/>
    </row>
    <row r="332" spans="1:14" s="1" customFormat="1" ht="12.75">
      <c r="A332" s="112"/>
      <c r="B332" s="112"/>
      <c r="C332" s="112"/>
      <c r="D332" s="112"/>
      <c r="E332" s="205"/>
      <c r="F332" s="206"/>
      <c r="G332" s="205"/>
      <c r="H332" s="206"/>
      <c r="I332" s="205"/>
      <c r="J332" s="206"/>
      <c r="K332" s="205"/>
      <c r="L332" s="206"/>
      <c r="M332" s="205"/>
      <c r="N332" s="206"/>
    </row>
    <row r="333" spans="1:14" s="1" customFormat="1" ht="12.75">
      <c r="A333" s="112"/>
      <c r="B333" s="112"/>
      <c r="C333" s="112"/>
      <c r="D333" s="112"/>
      <c r="E333" s="205"/>
      <c r="F333" s="206"/>
      <c r="G333" s="205"/>
      <c r="H333" s="206"/>
      <c r="I333" s="205"/>
      <c r="J333" s="206"/>
      <c r="K333" s="205"/>
      <c r="L333" s="206"/>
      <c r="M333" s="205"/>
      <c r="N333" s="206"/>
    </row>
    <row r="334" spans="1:14" s="1" customFormat="1" ht="12.75">
      <c r="A334" s="112"/>
      <c r="B334" s="112"/>
      <c r="C334" s="112"/>
      <c r="D334" s="112"/>
      <c r="E334" s="205"/>
      <c r="F334" s="206"/>
      <c r="G334" s="205"/>
      <c r="H334" s="206"/>
      <c r="I334" s="205"/>
      <c r="J334" s="206"/>
      <c r="K334" s="205"/>
      <c r="L334" s="206"/>
      <c r="M334" s="205"/>
      <c r="N334" s="206"/>
    </row>
    <row r="335" spans="1:14" s="1" customFormat="1" ht="12.75">
      <c r="A335" s="112"/>
      <c r="B335" s="112"/>
      <c r="C335" s="112"/>
      <c r="D335" s="112"/>
      <c r="E335" s="205"/>
      <c r="F335" s="206"/>
      <c r="G335" s="205"/>
      <c r="H335" s="206"/>
      <c r="I335" s="205"/>
      <c r="J335" s="206"/>
      <c r="K335" s="205"/>
      <c r="L335" s="206"/>
      <c r="M335" s="205"/>
      <c r="N335" s="206"/>
    </row>
    <row r="336" spans="1:14" s="1" customFormat="1" ht="12.75">
      <c r="A336" s="112"/>
      <c r="B336" s="112"/>
      <c r="C336" s="112"/>
      <c r="D336" s="112"/>
      <c r="E336" s="205"/>
      <c r="F336" s="206"/>
      <c r="G336" s="205"/>
      <c r="H336" s="206"/>
      <c r="I336" s="205"/>
      <c r="J336" s="206"/>
      <c r="K336" s="205"/>
      <c r="L336" s="206"/>
      <c r="M336" s="205"/>
      <c r="N336" s="206"/>
    </row>
    <row r="337" spans="1:14" s="1" customFormat="1" ht="12.75">
      <c r="A337" s="112"/>
      <c r="B337" s="112"/>
      <c r="C337" s="112"/>
      <c r="D337" s="112"/>
      <c r="E337" s="205"/>
      <c r="F337" s="206"/>
      <c r="G337" s="205"/>
      <c r="H337" s="206"/>
      <c r="I337" s="205"/>
      <c r="J337" s="206"/>
      <c r="K337" s="205"/>
      <c r="L337" s="206"/>
      <c r="M337" s="205"/>
      <c r="N337" s="206"/>
    </row>
    <row r="338" spans="1:14" s="1" customFormat="1" ht="12.75">
      <c r="A338" s="112"/>
      <c r="B338" s="112"/>
      <c r="C338" s="112"/>
      <c r="D338" s="112"/>
      <c r="E338" s="205"/>
      <c r="F338" s="206"/>
      <c r="G338" s="205"/>
      <c r="H338" s="206"/>
      <c r="I338" s="205"/>
      <c r="J338" s="206"/>
      <c r="K338" s="205"/>
      <c r="L338" s="206"/>
      <c r="M338" s="205"/>
      <c r="N338" s="206"/>
    </row>
    <row r="339" spans="1:14" s="1" customFormat="1" ht="12.75">
      <c r="A339" s="112"/>
      <c r="B339" s="112"/>
      <c r="C339" s="112"/>
      <c r="D339" s="112"/>
      <c r="E339" s="205"/>
      <c r="F339" s="206"/>
      <c r="G339" s="205"/>
      <c r="H339" s="206"/>
      <c r="I339" s="205"/>
      <c r="J339" s="206"/>
      <c r="K339" s="205"/>
      <c r="L339" s="206"/>
      <c r="M339" s="205"/>
      <c r="N339" s="206"/>
    </row>
    <row r="340" spans="1:14" s="1" customFormat="1" ht="12.75">
      <c r="A340" s="112"/>
      <c r="B340" s="112"/>
      <c r="C340" s="112"/>
      <c r="D340" s="112"/>
      <c r="E340" s="205"/>
      <c r="F340" s="206"/>
      <c r="G340" s="205"/>
      <c r="H340" s="206"/>
      <c r="I340" s="205"/>
      <c r="J340" s="206"/>
      <c r="K340" s="205"/>
      <c r="L340" s="206"/>
      <c r="M340" s="205"/>
      <c r="N340" s="206"/>
    </row>
    <row r="341" spans="1:14" s="1" customFormat="1" ht="12.75">
      <c r="A341" s="112"/>
      <c r="B341" s="112"/>
      <c r="C341" s="112"/>
      <c r="D341" s="112"/>
      <c r="E341" s="205"/>
      <c r="F341" s="206"/>
      <c r="G341" s="205"/>
      <c r="H341" s="206"/>
      <c r="I341" s="205"/>
      <c r="J341" s="206"/>
      <c r="K341" s="205"/>
      <c r="L341" s="206"/>
      <c r="M341" s="205"/>
      <c r="N341" s="206"/>
    </row>
    <row r="342" spans="1:14" s="1" customFormat="1" ht="12.75">
      <c r="A342" s="112"/>
      <c r="B342" s="112"/>
      <c r="C342" s="112"/>
      <c r="D342" s="112"/>
      <c r="E342" s="205"/>
      <c r="F342" s="206"/>
      <c r="G342" s="205"/>
      <c r="H342" s="206"/>
      <c r="I342" s="205"/>
      <c r="J342" s="206"/>
      <c r="K342" s="205"/>
      <c r="L342" s="206"/>
      <c r="M342" s="205"/>
      <c r="N342" s="206"/>
    </row>
    <row r="343" spans="1:14" s="1" customFormat="1" ht="12.75">
      <c r="A343" s="112"/>
      <c r="B343" s="112"/>
      <c r="C343" s="112"/>
      <c r="D343" s="112"/>
      <c r="E343" s="205"/>
      <c r="F343" s="206"/>
      <c r="G343" s="205"/>
      <c r="H343" s="206"/>
      <c r="I343" s="205"/>
      <c r="J343" s="206"/>
      <c r="K343" s="205"/>
      <c r="L343" s="206"/>
      <c r="M343" s="205"/>
      <c r="N343" s="206"/>
    </row>
    <row r="344" spans="1:14" s="1" customFormat="1" ht="12.75">
      <c r="A344" s="112"/>
      <c r="B344" s="112"/>
      <c r="C344" s="112"/>
      <c r="D344" s="112"/>
      <c r="E344" s="205"/>
      <c r="F344" s="206"/>
      <c r="G344" s="205"/>
      <c r="H344" s="206"/>
      <c r="I344" s="205"/>
      <c r="J344" s="206"/>
      <c r="K344" s="205"/>
      <c r="L344" s="206"/>
      <c r="M344" s="205"/>
      <c r="N344" s="206"/>
    </row>
    <row r="345" spans="1:14" s="1" customFormat="1" ht="12.75">
      <c r="A345" s="112"/>
      <c r="B345" s="112"/>
      <c r="C345" s="112"/>
      <c r="D345" s="112"/>
      <c r="E345" s="205"/>
      <c r="F345" s="206"/>
      <c r="G345" s="205"/>
      <c r="H345" s="206"/>
      <c r="I345" s="205"/>
      <c r="J345" s="206"/>
      <c r="K345" s="205"/>
      <c r="L345" s="206"/>
      <c r="M345" s="205"/>
      <c r="N345" s="206"/>
    </row>
    <row r="346" spans="1:14" s="1" customFormat="1" ht="12.75">
      <c r="A346" s="112"/>
      <c r="B346" s="112"/>
      <c r="C346" s="112"/>
      <c r="D346" s="112"/>
      <c r="E346" s="205"/>
      <c r="F346" s="206"/>
      <c r="G346" s="205"/>
      <c r="H346" s="206"/>
      <c r="I346" s="205"/>
      <c r="J346" s="206"/>
      <c r="K346" s="205"/>
      <c r="L346" s="206"/>
      <c r="M346" s="205"/>
      <c r="N346" s="206"/>
    </row>
    <row r="347" spans="1:14" s="1" customFormat="1" ht="12.75">
      <c r="A347" s="112"/>
      <c r="B347" s="112"/>
      <c r="C347" s="112"/>
      <c r="D347" s="112"/>
      <c r="E347" s="205"/>
      <c r="F347" s="206"/>
      <c r="G347" s="205"/>
      <c r="H347" s="206"/>
      <c r="I347" s="205"/>
      <c r="J347" s="206"/>
      <c r="K347" s="205"/>
      <c r="L347" s="206"/>
      <c r="M347" s="205"/>
      <c r="N347" s="206"/>
    </row>
    <row r="348" spans="1:14" s="1" customFormat="1" ht="12.75">
      <c r="A348" s="112"/>
      <c r="B348" s="112"/>
      <c r="C348" s="112"/>
      <c r="D348" s="112"/>
      <c r="E348" s="205"/>
      <c r="F348" s="206"/>
      <c r="G348" s="205"/>
      <c r="H348" s="206"/>
      <c r="I348" s="205"/>
      <c r="J348" s="206"/>
      <c r="K348" s="205"/>
      <c r="L348" s="206"/>
      <c r="M348" s="205"/>
      <c r="N348" s="206"/>
    </row>
    <row r="349" spans="1:14" s="1" customFormat="1" ht="12.75">
      <c r="A349" s="112"/>
      <c r="B349" s="112"/>
      <c r="C349" s="112"/>
      <c r="D349" s="112"/>
      <c r="E349" s="205"/>
      <c r="F349" s="206"/>
      <c r="G349" s="205"/>
      <c r="H349" s="206"/>
      <c r="I349" s="205"/>
      <c r="J349" s="206"/>
      <c r="K349" s="205"/>
      <c r="L349" s="206"/>
      <c r="M349" s="205"/>
      <c r="N349" s="206"/>
    </row>
    <row r="350" spans="1:14" s="1" customFormat="1" ht="12.75">
      <c r="A350" s="112"/>
      <c r="B350" s="112"/>
      <c r="C350" s="112"/>
      <c r="D350" s="112"/>
      <c r="E350" s="205"/>
      <c r="F350" s="206"/>
      <c r="G350" s="205"/>
      <c r="H350" s="206"/>
      <c r="I350" s="205"/>
      <c r="J350" s="206"/>
      <c r="K350" s="205"/>
      <c r="L350" s="206"/>
      <c r="M350" s="205"/>
      <c r="N350" s="206"/>
    </row>
    <row r="351" spans="1:14" s="1" customFormat="1" ht="12.75">
      <c r="A351" s="112"/>
      <c r="B351" s="112"/>
      <c r="C351" s="112"/>
      <c r="D351" s="112"/>
      <c r="E351" s="205"/>
      <c r="F351" s="206"/>
      <c r="G351" s="205"/>
      <c r="H351" s="206"/>
      <c r="I351" s="205"/>
      <c r="J351" s="206"/>
      <c r="K351" s="205"/>
      <c r="L351" s="206"/>
      <c r="M351" s="205"/>
      <c r="N351" s="206"/>
    </row>
    <row r="352" spans="1:14" s="1" customFormat="1" ht="12.75">
      <c r="A352" s="112"/>
      <c r="B352" s="112"/>
      <c r="C352" s="112"/>
      <c r="D352" s="112"/>
      <c r="E352" s="205"/>
      <c r="F352" s="206"/>
      <c r="G352" s="205"/>
      <c r="H352" s="206"/>
      <c r="I352" s="205"/>
      <c r="J352" s="206"/>
      <c r="K352" s="205"/>
      <c r="L352" s="206"/>
      <c r="M352" s="205"/>
      <c r="N352" s="206"/>
    </row>
    <row r="353" spans="1:14" s="1" customFormat="1" ht="12.75">
      <c r="A353" s="112"/>
      <c r="B353" s="112"/>
      <c r="C353" s="112"/>
      <c r="D353" s="112"/>
      <c r="E353" s="205"/>
      <c r="F353" s="206"/>
      <c r="G353" s="205"/>
      <c r="H353" s="206"/>
      <c r="I353" s="205"/>
      <c r="J353" s="206"/>
      <c r="K353" s="205"/>
      <c r="L353" s="206"/>
      <c r="M353" s="205"/>
      <c r="N353" s="206"/>
    </row>
    <row r="354" spans="1:14" s="1" customFormat="1" ht="12.75">
      <c r="A354" s="112"/>
      <c r="B354" s="112"/>
      <c r="C354" s="112"/>
      <c r="D354" s="112"/>
      <c r="E354" s="205"/>
      <c r="F354" s="206"/>
      <c r="G354" s="205"/>
      <c r="H354" s="206"/>
      <c r="I354" s="205"/>
      <c r="J354" s="206"/>
      <c r="K354" s="205"/>
      <c r="L354" s="206"/>
      <c r="M354" s="205"/>
      <c r="N354" s="206"/>
    </row>
    <row r="355" spans="1:14" s="1" customFormat="1" ht="12.75">
      <c r="A355" s="112"/>
      <c r="B355" s="112"/>
      <c r="C355" s="112"/>
      <c r="D355" s="112"/>
      <c r="E355" s="205"/>
      <c r="F355" s="206"/>
      <c r="G355" s="205"/>
      <c r="H355" s="206"/>
      <c r="I355" s="205"/>
      <c r="J355" s="206"/>
      <c r="K355" s="205"/>
      <c r="L355" s="206"/>
      <c r="M355" s="205"/>
      <c r="N355" s="206"/>
    </row>
    <row r="356" spans="1:14" s="1" customFormat="1" ht="12.75">
      <c r="A356" s="112"/>
      <c r="B356" s="112"/>
      <c r="C356" s="112"/>
      <c r="D356" s="112"/>
      <c r="E356" s="205"/>
      <c r="F356" s="206"/>
      <c r="G356" s="205"/>
      <c r="H356" s="206"/>
      <c r="I356" s="205"/>
      <c r="J356" s="206"/>
      <c r="K356" s="205"/>
      <c r="L356" s="206"/>
      <c r="M356" s="205"/>
      <c r="N356" s="206"/>
    </row>
    <row r="357" spans="1:14" s="1" customFormat="1" ht="12.75">
      <c r="A357" s="112"/>
      <c r="B357" s="112"/>
      <c r="C357" s="112"/>
      <c r="D357" s="112"/>
      <c r="E357" s="205"/>
      <c r="F357" s="206"/>
      <c r="G357" s="205"/>
      <c r="H357" s="206"/>
      <c r="I357" s="205"/>
      <c r="J357" s="206"/>
      <c r="K357" s="205"/>
      <c r="L357" s="206"/>
      <c r="M357" s="205"/>
      <c r="N357" s="206"/>
    </row>
    <row r="358" spans="1:14" s="1" customFormat="1" ht="12.75">
      <c r="A358" s="112"/>
      <c r="B358" s="112"/>
      <c r="C358" s="112"/>
      <c r="D358" s="112"/>
      <c r="E358" s="205"/>
      <c r="F358" s="206"/>
      <c r="G358" s="205"/>
      <c r="H358" s="206"/>
      <c r="I358" s="205"/>
      <c r="J358" s="206"/>
      <c r="K358" s="205"/>
      <c r="L358" s="206"/>
      <c r="M358" s="205"/>
      <c r="N358" s="206"/>
    </row>
    <row r="359" spans="1:14" s="1" customFormat="1" ht="12.75">
      <c r="A359" s="112"/>
      <c r="B359" s="112"/>
      <c r="C359" s="112"/>
      <c r="D359" s="112"/>
      <c r="E359" s="205"/>
      <c r="F359" s="206"/>
      <c r="G359" s="205"/>
      <c r="H359" s="206"/>
      <c r="I359" s="205"/>
      <c r="J359" s="206"/>
      <c r="K359" s="205"/>
      <c r="L359" s="206"/>
      <c r="M359" s="205"/>
      <c r="N359" s="206"/>
    </row>
    <row r="360" spans="1:14" s="1" customFormat="1" ht="12.75">
      <c r="A360" s="112"/>
      <c r="B360" s="112"/>
      <c r="C360" s="112"/>
      <c r="D360" s="112"/>
      <c r="E360" s="205"/>
      <c r="F360" s="206"/>
      <c r="G360" s="205"/>
      <c r="H360" s="206"/>
      <c r="I360" s="205"/>
      <c r="J360" s="206"/>
      <c r="K360" s="205"/>
      <c r="L360" s="206"/>
      <c r="M360" s="205"/>
      <c r="N360" s="206"/>
    </row>
    <row r="361" spans="1:14" s="1" customFormat="1" ht="12.75">
      <c r="A361" s="112"/>
      <c r="B361" s="112"/>
      <c r="C361" s="112"/>
      <c r="D361" s="112"/>
      <c r="E361" s="205"/>
      <c r="F361" s="206"/>
      <c r="G361" s="205"/>
      <c r="H361" s="206"/>
      <c r="I361" s="205"/>
      <c r="J361" s="206"/>
      <c r="K361" s="205"/>
      <c r="L361" s="206"/>
      <c r="M361" s="205"/>
      <c r="N361" s="206"/>
    </row>
    <row r="362" spans="1:14" s="1" customFormat="1" ht="12.75">
      <c r="A362" s="112"/>
      <c r="B362" s="112"/>
      <c r="C362" s="112"/>
      <c r="D362" s="112"/>
      <c r="E362" s="205"/>
      <c r="F362" s="206"/>
      <c r="G362" s="205"/>
      <c r="H362" s="206"/>
      <c r="I362" s="205"/>
      <c r="J362" s="206"/>
      <c r="K362" s="205"/>
      <c r="L362" s="206"/>
      <c r="M362" s="205"/>
      <c r="N362" s="206"/>
    </row>
    <row r="363" spans="1:14" s="1" customFormat="1" ht="12.75">
      <c r="A363" s="112"/>
      <c r="B363" s="112"/>
      <c r="C363" s="112"/>
      <c r="D363" s="112"/>
      <c r="E363" s="205"/>
      <c r="F363" s="206"/>
      <c r="G363" s="205"/>
      <c r="H363" s="206"/>
      <c r="I363" s="205"/>
      <c r="J363" s="206"/>
      <c r="K363" s="205"/>
      <c r="L363" s="206"/>
      <c r="M363" s="205"/>
      <c r="N363" s="206"/>
    </row>
    <row r="364" spans="1:14" s="1" customFormat="1" ht="12.75">
      <c r="A364" s="112"/>
      <c r="B364" s="112"/>
      <c r="C364" s="112"/>
      <c r="D364" s="112"/>
      <c r="E364" s="205"/>
      <c r="F364" s="206"/>
      <c r="G364" s="205"/>
      <c r="H364" s="206"/>
      <c r="I364" s="205"/>
      <c r="J364" s="206"/>
      <c r="K364" s="205"/>
      <c r="L364" s="206"/>
      <c r="M364" s="205"/>
      <c r="N364" s="206"/>
    </row>
    <row r="365" spans="1:14" s="1" customFormat="1" ht="12.75">
      <c r="A365" s="112"/>
      <c r="B365" s="112"/>
      <c r="C365" s="112"/>
      <c r="D365" s="112"/>
      <c r="E365" s="205"/>
      <c r="F365" s="206"/>
      <c r="G365" s="205"/>
      <c r="H365" s="206"/>
      <c r="I365" s="205"/>
      <c r="J365" s="206"/>
      <c r="K365" s="205"/>
      <c r="L365" s="206"/>
      <c r="M365" s="205"/>
      <c r="N365" s="206"/>
    </row>
    <row r="366" spans="1:14" s="1" customFormat="1" ht="12.75">
      <c r="A366" s="112"/>
      <c r="B366" s="112"/>
      <c r="C366" s="112"/>
      <c r="D366" s="112"/>
      <c r="E366" s="205"/>
      <c r="F366" s="206"/>
      <c r="G366" s="205"/>
      <c r="H366" s="206"/>
      <c r="I366" s="205"/>
      <c r="J366" s="206"/>
      <c r="K366" s="205"/>
      <c r="L366" s="206"/>
      <c r="M366" s="205"/>
      <c r="N366" s="206"/>
    </row>
    <row r="367" spans="1:14" s="1" customFormat="1" ht="12.75">
      <c r="A367" s="112"/>
      <c r="B367" s="112"/>
      <c r="C367" s="112"/>
      <c r="D367" s="112"/>
      <c r="E367" s="205"/>
      <c r="F367" s="206"/>
      <c r="G367" s="205"/>
      <c r="H367" s="206"/>
      <c r="I367" s="205"/>
      <c r="J367" s="206"/>
      <c r="K367" s="205"/>
      <c r="L367" s="206"/>
      <c r="M367" s="205"/>
      <c r="N367" s="206"/>
    </row>
    <row r="368" spans="1:14" s="1" customFormat="1" ht="12.75">
      <c r="A368" s="112"/>
      <c r="B368" s="112"/>
      <c r="C368" s="112"/>
      <c r="D368" s="112"/>
      <c r="E368" s="205"/>
      <c r="F368" s="206"/>
      <c r="G368" s="205"/>
      <c r="H368" s="206"/>
      <c r="I368" s="205"/>
      <c r="J368" s="206"/>
      <c r="K368" s="205"/>
      <c r="L368" s="206"/>
      <c r="M368" s="205"/>
      <c r="N368" s="206"/>
    </row>
    <row r="369" spans="1:14" s="1" customFormat="1" ht="12.75">
      <c r="A369" s="112"/>
      <c r="B369" s="112"/>
      <c r="C369" s="112"/>
      <c r="D369" s="112"/>
      <c r="E369" s="205"/>
      <c r="F369" s="206"/>
      <c r="G369" s="205"/>
      <c r="H369" s="206"/>
      <c r="I369" s="205"/>
      <c r="J369" s="206"/>
      <c r="K369" s="205"/>
      <c r="L369" s="206"/>
      <c r="M369" s="205"/>
      <c r="N369" s="206"/>
    </row>
    <row r="370" spans="1:14" s="1" customFormat="1" ht="12.75">
      <c r="A370" s="112"/>
      <c r="B370" s="112"/>
      <c r="C370" s="112"/>
      <c r="D370" s="112"/>
      <c r="E370" s="205"/>
      <c r="F370" s="206"/>
      <c r="G370" s="205"/>
      <c r="H370" s="206"/>
      <c r="I370" s="205"/>
      <c r="J370" s="206"/>
      <c r="K370" s="205"/>
      <c r="L370" s="206"/>
      <c r="M370" s="205"/>
      <c r="N370" s="206"/>
    </row>
    <row r="371" spans="1:14" s="1" customFormat="1" ht="12.75">
      <c r="A371" s="112"/>
      <c r="B371" s="112"/>
      <c r="C371" s="112"/>
      <c r="D371" s="112"/>
      <c r="E371" s="205"/>
      <c r="F371" s="206"/>
      <c r="G371" s="205"/>
      <c r="H371" s="206"/>
      <c r="I371" s="205"/>
      <c r="J371" s="206"/>
      <c r="K371" s="205"/>
      <c r="L371" s="206"/>
      <c r="M371" s="205"/>
      <c r="N371" s="206"/>
    </row>
    <row r="372" spans="1:14" s="1" customFormat="1" ht="12.75">
      <c r="A372" s="112"/>
      <c r="B372" s="112"/>
      <c r="C372" s="112"/>
      <c r="D372" s="112"/>
      <c r="E372" s="205"/>
      <c r="F372" s="206"/>
      <c r="G372" s="205"/>
      <c r="H372" s="206"/>
      <c r="I372" s="205"/>
      <c r="J372" s="206"/>
      <c r="K372" s="205"/>
      <c r="L372" s="206"/>
      <c r="M372" s="205"/>
      <c r="N372" s="206"/>
    </row>
    <row r="373" spans="1:14" s="1" customFormat="1" ht="12.75">
      <c r="A373" s="112"/>
      <c r="B373" s="112"/>
      <c r="C373" s="112"/>
      <c r="D373" s="112"/>
      <c r="E373" s="205"/>
      <c r="F373" s="206"/>
      <c r="G373" s="205"/>
      <c r="H373" s="206"/>
      <c r="I373" s="205"/>
      <c r="J373" s="206"/>
      <c r="K373" s="205"/>
      <c r="L373" s="206"/>
      <c r="M373" s="205"/>
      <c r="N373" s="206"/>
    </row>
    <row r="374" spans="1:14" s="1" customFormat="1" ht="12.75">
      <c r="A374" s="112"/>
      <c r="B374" s="112"/>
      <c r="C374" s="112"/>
      <c r="D374" s="112"/>
      <c r="E374" s="205"/>
      <c r="F374" s="206"/>
      <c r="G374" s="205"/>
      <c r="H374" s="206"/>
      <c r="I374" s="205"/>
      <c r="J374" s="206"/>
      <c r="K374" s="205"/>
      <c r="L374" s="206"/>
      <c r="M374" s="205"/>
      <c r="N374" s="206"/>
    </row>
    <row r="375" spans="1:14" s="1" customFormat="1" ht="12.75">
      <c r="A375" s="112"/>
      <c r="B375" s="112"/>
      <c r="C375" s="112"/>
      <c r="D375" s="112"/>
      <c r="E375" s="205"/>
      <c r="F375" s="206"/>
      <c r="G375" s="205"/>
      <c r="H375" s="206"/>
      <c r="I375" s="205"/>
      <c r="J375" s="206"/>
      <c r="K375" s="205"/>
      <c r="L375" s="206"/>
      <c r="M375" s="205"/>
      <c r="N375" s="206"/>
    </row>
    <row r="376" spans="1:14" s="1" customFormat="1" ht="12.75">
      <c r="A376" s="112"/>
      <c r="B376" s="112"/>
      <c r="C376" s="112"/>
      <c r="D376" s="112"/>
      <c r="E376" s="205"/>
      <c r="F376" s="206"/>
      <c r="G376" s="205"/>
      <c r="H376" s="206"/>
      <c r="I376" s="205"/>
      <c r="J376" s="206"/>
      <c r="K376" s="205"/>
      <c r="L376" s="206"/>
      <c r="M376" s="205"/>
      <c r="N376" s="206"/>
    </row>
    <row r="377" spans="1:14" s="1" customFormat="1" ht="12.75">
      <c r="A377" s="112"/>
      <c r="B377" s="112"/>
      <c r="C377" s="112"/>
      <c r="D377" s="112"/>
      <c r="E377" s="205"/>
      <c r="F377" s="206"/>
      <c r="G377" s="205"/>
      <c r="H377" s="206"/>
      <c r="I377" s="205"/>
      <c r="J377" s="206"/>
      <c r="K377" s="205"/>
      <c r="L377" s="206"/>
      <c r="M377" s="205"/>
      <c r="N377" s="206"/>
    </row>
    <row r="378" spans="1:14" s="1" customFormat="1" ht="12.75">
      <c r="A378" s="112"/>
      <c r="B378" s="112"/>
      <c r="C378" s="112"/>
      <c r="D378" s="112"/>
      <c r="E378" s="205"/>
      <c r="F378" s="206"/>
      <c r="G378" s="205"/>
      <c r="H378" s="206"/>
      <c r="I378" s="205"/>
      <c r="J378" s="206"/>
      <c r="K378" s="205"/>
      <c r="L378" s="206"/>
      <c r="M378" s="205"/>
      <c r="N378" s="206"/>
    </row>
    <row r="379" spans="1:14" s="1" customFormat="1" ht="12.75">
      <c r="A379" s="112"/>
      <c r="B379" s="112"/>
      <c r="C379" s="112"/>
      <c r="D379" s="112"/>
      <c r="E379" s="205"/>
      <c r="F379" s="206"/>
      <c r="G379" s="205"/>
      <c r="H379" s="206"/>
      <c r="I379" s="205"/>
      <c r="J379" s="206"/>
      <c r="K379" s="205"/>
      <c r="L379" s="206"/>
      <c r="M379" s="205"/>
      <c r="N379" s="206"/>
    </row>
    <row r="380" spans="1:14" s="1" customFormat="1" ht="12.75">
      <c r="A380" s="112"/>
      <c r="B380" s="112"/>
      <c r="C380" s="112"/>
      <c r="D380" s="112"/>
      <c r="E380" s="205"/>
      <c r="F380" s="206"/>
      <c r="G380" s="205"/>
      <c r="H380" s="206"/>
      <c r="I380" s="205"/>
      <c r="J380" s="206"/>
      <c r="K380" s="205"/>
      <c r="L380" s="206"/>
      <c r="M380" s="205"/>
      <c r="N380" s="206"/>
    </row>
    <row r="381" spans="1:14" s="1" customFormat="1" ht="12.75">
      <c r="A381" s="112"/>
      <c r="B381" s="112"/>
      <c r="C381" s="112"/>
      <c r="D381" s="112"/>
      <c r="E381" s="205"/>
      <c r="F381" s="206"/>
      <c r="G381" s="205"/>
      <c r="H381" s="206"/>
      <c r="I381" s="205"/>
      <c r="J381" s="206"/>
      <c r="K381" s="205"/>
      <c r="L381" s="206"/>
      <c r="M381" s="205"/>
      <c r="N381" s="206"/>
    </row>
    <row r="382" spans="1:14" s="1" customFormat="1" ht="12.75">
      <c r="A382" s="112"/>
      <c r="B382" s="112"/>
      <c r="C382" s="112"/>
      <c r="D382" s="112"/>
      <c r="E382" s="205"/>
      <c r="F382" s="206"/>
      <c r="G382" s="205"/>
      <c r="H382" s="206"/>
      <c r="I382" s="205"/>
      <c r="J382" s="206"/>
      <c r="K382" s="205"/>
      <c r="L382" s="206"/>
      <c r="M382" s="205"/>
      <c r="N382" s="206"/>
    </row>
    <row r="383" spans="1:14" s="1" customFormat="1" ht="12.75">
      <c r="A383" s="112"/>
      <c r="B383" s="112"/>
      <c r="C383" s="112"/>
      <c r="D383" s="112"/>
      <c r="E383" s="205"/>
      <c r="F383" s="206"/>
      <c r="G383" s="205"/>
      <c r="H383" s="206"/>
      <c r="I383" s="205"/>
      <c r="J383" s="206"/>
      <c r="K383" s="205"/>
      <c r="L383" s="206"/>
      <c r="M383" s="205"/>
      <c r="N383" s="206"/>
    </row>
    <row r="384" spans="1:14" s="1" customFormat="1" ht="12.75">
      <c r="A384" s="112"/>
      <c r="B384" s="112"/>
      <c r="C384" s="112"/>
      <c r="D384" s="112"/>
      <c r="E384" s="205"/>
      <c r="F384" s="206"/>
      <c r="G384" s="205"/>
      <c r="H384" s="206"/>
      <c r="I384" s="205"/>
      <c r="J384" s="206"/>
      <c r="K384" s="205"/>
      <c r="L384" s="206"/>
      <c r="M384" s="205"/>
      <c r="N384" s="206"/>
    </row>
    <row r="385" spans="1:14" s="1" customFormat="1" ht="12.75">
      <c r="A385" s="112"/>
      <c r="B385" s="112"/>
      <c r="C385" s="112"/>
      <c r="D385" s="112"/>
      <c r="E385" s="205"/>
      <c r="F385" s="206"/>
      <c r="G385" s="205"/>
      <c r="H385" s="206"/>
      <c r="I385" s="205"/>
      <c r="J385" s="206"/>
      <c r="K385" s="205"/>
      <c r="L385" s="206"/>
      <c r="M385" s="205"/>
      <c r="N385" s="206"/>
    </row>
    <row r="386" spans="1:14" s="1" customFormat="1" ht="12.75">
      <c r="A386" s="112"/>
      <c r="B386" s="112"/>
      <c r="C386" s="112"/>
      <c r="D386" s="112"/>
      <c r="E386" s="205"/>
      <c r="F386" s="206"/>
      <c r="G386" s="205"/>
      <c r="H386" s="206"/>
      <c r="I386" s="205"/>
      <c r="J386" s="206"/>
      <c r="K386" s="205"/>
      <c r="L386" s="206"/>
      <c r="M386" s="205"/>
      <c r="N386" s="206"/>
    </row>
    <row r="387" spans="1:14" s="1" customFormat="1" ht="12.75">
      <c r="A387" s="112"/>
      <c r="B387" s="112"/>
      <c r="C387" s="112"/>
      <c r="D387" s="112"/>
      <c r="E387" s="205"/>
      <c r="F387" s="206"/>
      <c r="G387" s="205"/>
      <c r="H387" s="206"/>
      <c r="I387" s="205"/>
      <c r="J387" s="206"/>
      <c r="K387" s="205"/>
      <c r="L387" s="206"/>
      <c r="M387" s="205"/>
      <c r="N387" s="206"/>
    </row>
    <row r="388" spans="1:14" s="1" customFormat="1" ht="12.75">
      <c r="A388" s="112"/>
      <c r="B388" s="112"/>
      <c r="C388" s="112"/>
      <c r="D388" s="112"/>
      <c r="E388" s="205"/>
      <c r="F388" s="206"/>
      <c r="G388" s="205"/>
      <c r="H388" s="206"/>
      <c r="I388" s="205"/>
      <c r="J388" s="206"/>
      <c r="K388" s="205"/>
      <c r="L388" s="206"/>
      <c r="M388" s="205"/>
      <c r="N388" s="206"/>
    </row>
    <row r="389" spans="1:14" s="1" customFormat="1" ht="12.75">
      <c r="A389" s="112"/>
      <c r="B389" s="112"/>
      <c r="C389" s="112"/>
      <c r="D389" s="112"/>
      <c r="E389" s="205"/>
      <c r="F389" s="206"/>
      <c r="G389" s="205"/>
      <c r="H389" s="206"/>
      <c r="I389" s="205"/>
      <c r="J389" s="206"/>
      <c r="K389" s="205"/>
      <c r="L389" s="206"/>
      <c r="M389" s="205"/>
      <c r="N389" s="206"/>
    </row>
    <row r="390" spans="1:14" s="1" customFormat="1" ht="12.75">
      <c r="A390" s="112"/>
      <c r="B390" s="112"/>
      <c r="C390" s="112"/>
      <c r="D390" s="112"/>
      <c r="E390" s="205"/>
      <c r="F390" s="206"/>
      <c r="G390" s="205"/>
      <c r="H390" s="206"/>
      <c r="I390" s="205"/>
      <c r="J390" s="206"/>
      <c r="K390" s="205"/>
      <c r="L390" s="206"/>
      <c r="M390" s="205"/>
      <c r="N390" s="206"/>
    </row>
    <row r="391" spans="1:14" s="1" customFormat="1" ht="12.75">
      <c r="A391" s="112"/>
      <c r="B391" s="112"/>
      <c r="C391" s="112"/>
      <c r="D391" s="112"/>
      <c r="E391" s="205"/>
      <c r="F391" s="206"/>
      <c r="G391" s="205"/>
      <c r="H391" s="206"/>
      <c r="I391" s="205"/>
      <c r="J391" s="206"/>
      <c r="K391" s="205"/>
      <c r="L391" s="206"/>
      <c r="M391" s="205"/>
      <c r="N391" s="206"/>
    </row>
    <row r="392" spans="1:14" s="1" customFormat="1" ht="12.75">
      <c r="A392" s="112"/>
      <c r="B392" s="112"/>
      <c r="C392" s="112"/>
      <c r="D392" s="112"/>
      <c r="E392" s="205"/>
      <c r="F392" s="206"/>
      <c r="G392" s="205"/>
      <c r="H392" s="206"/>
      <c r="I392" s="205"/>
      <c r="J392" s="206"/>
      <c r="K392" s="205"/>
      <c r="L392" s="206"/>
      <c r="M392" s="205"/>
      <c r="N392" s="206"/>
    </row>
    <row r="393" spans="1:14" s="1" customFormat="1" ht="12.75">
      <c r="A393" s="112"/>
      <c r="B393" s="112"/>
      <c r="C393" s="112"/>
      <c r="D393" s="112"/>
      <c r="E393" s="205"/>
      <c r="F393" s="206"/>
      <c r="G393" s="205"/>
      <c r="H393" s="206"/>
      <c r="I393" s="205"/>
      <c r="J393" s="206"/>
      <c r="K393" s="205"/>
      <c r="L393" s="206"/>
      <c r="M393" s="205"/>
      <c r="N393" s="206"/>
    </row>
    <row r="394" spans="1:14" s="1" customFormat="1" ht="12.75">
      <c r="A394" s="112"/>
      <c r="B394" s="112"/>
      <c r="C394" s="112"/>
      <c r="D394" s="112"/>
      <c r="E394" s="205"/>
      <c r="F394" s="206"/>
      <c r="G394" s="205"/>
      <c r="H394" s="206"/>
      <c r="I394" s="205"/>
      <c r="J394" s="206"/>
      <c r="K394" s="205"/>
      <c r="L394" s="206"/>
      <c r="M394" s="205"/>
      <c r="N394" s="206"/>
    </row>
    <row r="395" spans="1:14" s="1" customFormat="1" ht="12.75">
      <c r="A395" s="112"/>
      <c r="B395" s="112"/>
      <c r="C395" s="112"/>
      <c r="D395" s="112"/>
      <c r="E395" s="205"/>
      <c r="F395" s="206"/>
      <c r="G395" s="205"/>
      <c r="H395" s="206"/>
      <c r="I395" s="205"/>
      <c r="J395" s="206"/>
      <c r="K395" s="205"/>
      <c r="L395" s="206"/>
      <c r="M395" s="205"/>
      <c r="N395" s="206"/>
    </row>
    <row r="396" spans="1:14" s="1" customFormat="1" ht="12.75">
      <c r="A396" s="112"/>
      <c r="B396" s="112"/>
      <c r="C396" s="112"/>
      <c r="D396" s="112"/>
      <c r="E396" s="205"/>
      <c r="F396" s="206"/>
      <c r="G396" s="205"/>
      <c r="H396" s="206"/>
      <c r="I396" s="205"/>
      <c r="J396" s="206"/>
      <c r="K396" s="205"/>
      <c r="L396" s="206"/>
      <c r="M396" s="205"/>
      <c r="N396" s="206"/>
    </row>
    <row r="397" spans="1:14" s="1" customFormat="1" ht="12.75">
      <c r="A397" s="112"/>
      <c r="B397" s="112"/>
      <c r="C397" s="112"/>
      <c r="D397" s="112"/>
      <c r="E397" s="205"/>
      <c r="F397" s="206"/>
      <c r="G397" s="205"/>
      <c r="H397" s="206"/>
      <c r="I397" s="205"/>
      <c r="J397" s="206"/>
      <c r="K397" s="205"/>
      <c r="L397" s="206"/>
      <c r="M397" s="205"/>
      <c r="N397" s="206"/>
    </row>
    <row r="398" spans="1:14" s="1" customFormat="1" ht="12.75">
      <c r="A398" s="112"/>
      <c r="B398" s="112"/>
      <c r="C398" s="112"/>
      <c r="D398" s="112"/>
      <c r="E398" s="205"/>
      <c r="F398" s="206"/>
      <c r="G398" s="205"/>
      <c r="H398" s="206"/>
      <c r="I398" s="205"/>
      <c r="J398" s="206"/>
      <c r="K398" s="205"/>
      <c r="L398" s="206"/>
      <c r="M398" s="205"/>
      <c r="N398" s="206"/>
    </row>
    <row r="399" spans="1:14" s="1" customFormat="1" ht="12.75">
      <c r="A399" s="112"/>
      <c r="B399" s="112"/>
      <c r="C399" s="112"/>
      <c r="D399" s="112"/>
      <c r="E399" s="205"/>
      <c r="F399" s="206"/>
      <c r="G399" s="205"/>
      <c r="H399" s="206"/>
      <c r="I399" s="205"/>
      <c r="J399" s="206"/>
      <c r="K399" s="205"/>
      <c r="L399" s="206"/>
      <c r="M399" s="205"/>
      <c r="N399" s="206"/>
    </row>
    <row r="400" spans="1:14" s="1" customFormat="1" ht="12.75">
      <c r="A400" s="112"/>
      <c r="B400" s="112"/>
      <c r="C400" s="112"/>
      <c r="D400" s="112"/>
      <c r="E400" s="205"/>
      <c r="F400" s="206"/>
      <c r="G400" s="205"/>
      <c r="H400" s="206"/>
      <c r="I400" s="205"/>
      <c r="J400" s="206"/>
      <c r="K400" s="205"/>
      <c r="L400" s="206"/>
      <c r="M400" s="205"/>
      <c r="N400" s="206"/>
    </row>
    <row r="401" spans="1:14" s="1" customFormat="1" ht="12.75">
      <c r="A401" s="112"/>
      <c r="B401" s="112"/>
      <c r="C401" s="112"/>
      <c r="D401" s="112"/>
      <c r="E401" s="205"/>
      <c r="F401" s="206"/>
      <c r="G401" s="205"/>
      <c r="H401" s="206"/>
      <c r="I401" s="205"/>
      <c r="J401" s="206"/>
      <c r="K401" s="205"/>
      <c r="L401" s="206"/>
      <c r="M401" s="205"/>
      <c r="N401" s="206"/>
    </row>
    <row r="402" spans="1:14" s="1" customFormat="1" ht="12.75">
      <c r="A402" s="112"/>
      <c r="B402" s="112"/>
      <c r="C402" s="112"/>
      <c r="D402" s="112"/>
      <c r="E402" s="205"/>
      <c r="F402" s="206"/>
      <c r="G402" s="205"/>
      <c r="H402" s="206"/>
      <c r="I402" s="205"/>
      <c r="J402" s="206"/>
      <c r="K402" s="205"/>
      <c r="L402" s="206"/>
      <c r="M402" s="205"/>
      <c r="N402" s="206"/>
    </row>
    <row r="403" spans="1:14" s="1" customFormat="1" ht="12.75">
      <c r="A403" s="112"/>
      <c r="B403" s="112"/>
      <c r="C403" s="112"/>
      <c r="D403" s="112"/>
      <c r="E403" s="205"/>
      <c r="F403" s="206"/>
      <c r="G403" s="205"/>
      <c r="H403" s="206"/>
      <c r="I403" s="205"/>
      <c r="J403" s="206"/>
      <c r="K403" s="205"/>
      <c r="L403" s="206"/>
      <c r="M403" s="205"/>
      <c r="N403" s="206"/>
    </row>
    <row r="404" spans="1:14" s="1" customFormat="1" ht="12.75">
      <c r="A404" s="112"/>
      <c r="B404" s="112"/>
      <c r="C404" s="112"/>
      <c r="D404" s="112"/>
      <c r="E404" s="205"/>
      <c r="F404" s="206"/>
      <c r="G404" s="205"/>
      <c r="H404" s="206"/>
      <c r="I404" s="205"/>
      <c r="J404" s="206"/>
      <c r="K404" s="205"/>
      <c r="L404" s="206"/>
      <c r="M404" s="205"/>
      <c r="N404" s="206"/>
    </row>
    <row r="405" spans="1:14" s="1" customFormat="1" ht="12.75">
      <c r="A405" s="112"/>
      <c r="B405" s="112"/>
      <c r="C405" s="112"/>
      <c r="D405" s="112"/>
      <c r="E405" s="205"/>
      <c r="F405" s="206"/>
      <c r="G405" s="205"/>
      <c r="H405" s="206"/>
      <c r="I405" s="205"/>
      <c r="J405" s="206"/>
      <c r="K405" s="205"/>
      <c r="L405" s="206"/>
      <c r="M405" s="205"/>
      <c r="N405" s="206"/>
    </row>
    <row r="406" spans="1:14" s="1" customFormat="1" ht="12.75">
      <c r="A406" s="112"/>
      <c r="B406" s="112"/>
      <c r="C406" s="112"/>
      <c r="D406" s="112"/>
      <c r="E406" s="205"/>
      <c r="F406" s="206"/>
      <c r="G406" s="205"/>
      <c r="H406" s="206"/>
      <c r="I406" s="205"/>
      <c r="J406" s="206"/>
      <c r="K406" s="205"/>
      <c r="L406" s="206"/>
      <c r="M406" s="205"/>
      <c r="N406" s="206"/>
    </row>
    <row r="407" spans="1:14" s="1" customFormat="1" ht="12.75">
      <c r="A407" s="112"/>
      <c r="B407" s="112"/>
      <c r="C407" s="112"/>
      <c r="D407" s="112"/>
      <c r="E407" s="205"/>
      <c r="F407" s="206"/>
      <c r="G407" s="205"/>
      <c r="H407" s="206"/>
      <c r="I407" s="205"/>
      <c r="J407" s="206"/>
      <c r="K407" s="205"/>
      <c r="L407" s="206"/>
      <c r="M407" s="205"/>
      <c r="N407" s="206"/>
    </row>
    <row r="408" spans="1:14" s="1" customFormat="1" ht="12.75">
      <c r="A408" s="112"/>
      <c r="B408" s="112"/>
      <c r="C408" s="112"/>
      <c r="D408" s="112"/>
      <c r="E408" s="205"/>
      <c r="F408" s="206"/>
      <c r="G408" s="205"/>
      <c r="H408" s="206"/>
      <c r="I408" s="205"/>
      <c r="J408" s="206"/>
      <c r="K408" s="205"/>
      <c r="L408" s="206"/>
      <c r="M408" s="205"/>
      <c r="N408" s="206"/>
    </row>
    <row r="409" spans="1:14" s="1" customFormat="1" ht="12.75">
      <c r="A409" s="112"/>
      <c r="B409" s="112"/>
      <c r="C409" s="112"/>
      <c r="D409" s="112"/>
      <c r="E409" s="205"/>
      <c r="F409" s="206"/>
      <c r="G409" s="205"/>
      <c r="H409" s="206"/>
      <c r="I409" s="205"/>
      <c r="J409" s="206"/>
      <c r="K409" s="205"/>
      <c r="L409" s="206"/>
      <c r="M409" s="205"/>
      <c r="N409" s="206"/>
    </row>
    <row r="410" spans="1:14" s="1" customFormat="1" ht="12.75">
      <c r="A410" s="112"/>
      <c r="B410" s="112"/>
      <c r="C410" s="112"/>
      <c r="D410" s="112"/>
      <c r="E410" s="205"/>
      <c r="F410" s="206"/>
      <c r="G410" s="205"/>
      <c r="H410" s="206"/>
      <c r="I410" s="205"/>
      <c r="J410" s="206"/>
      <c r="K410" s="205"/>
      <c r="L410" s="206"/>
      <c r="M410" s="205"/>
      <c r="N410" s="206"/>
    </row>
    <row r="411" spans="1:14" s="1" customFormat="1" ht="12.75">
      <c r="A411" s="112"/>
      <c r="B411" s="112"/>
      <c r="C411" s="112"/>
      <c r="D411" s="112"/>
      <c r="E411" s="205"/>
      <c r="F411" s="206"/>
      <c r="G411" s="205"/>
      <c r="H411" s="206"/>
      <c r="I411" s="205"/>
      <c r="J411" s="206"/>
      <c r="K411" s="205"/>
      <c r="L411" s="206"/>
      <c r="M411" s="205"/>
      <c r="N411" s="206"/>
    </row>
    <row r="412" spans="1:14" s="1" customFormat="1" ht="12.75">
      <c r="A412" s="112"/>
      <c r="B412" s="112"/>
      <c r="C412" s="112"/>
      <c r="D412" s="112"/>
      <c r="E412" s="205"/>
      <c r="F412" s="206"/>
      <c r="G412" s="205"/>
      <c r="H412" s="206"/>
      <c r="I412" s="205"/>
      <c r="J412" s="206"/>
      <c r="K412" s="205"/>
      <c r="L412" s="206"/>
      <c r="M412" s="205"/>
      <c r="N412" s="206"/>
    </row>
    <row r="413" spans="1:14" s="1" customFormat="1" ht="12.75">
      <c r="A413" s="112"/>
      <c r="B413" s="112"/>
      <c r="C413" s="112"/>
      <c r="D413" s="112"/>
      <c r="E413" s="205"/>
      <c r="F413" s="206"/>
      <c r="G413" s="205"/>
      <c r="H413" s="206"/>
      <c r="I413" s="205"/>
      <c r="J413" s="206"/>
      <c r="K413" s="205"/>
      <c r="L413" s="206"/>
      <c r="M413" s="205"/>
      <c r="N413" s="206"/>
    </row>
    <row r="414" spans="1:14" s="1" customFormat="1" ht="12.75">
      <c r="A414" s="112"/>
      <c r="B414" s="112"/>
      <c r="C414" s="112"/>
      <c r="D414" s="112"/>
      <c r="E414" s="205"/>
      <c r="F414" s="206"/>
      <c r="G414" s="205"/>
      <c r="H414" s="206"/>
      <c r="I414" s="205"/>
      <c r="J414" s="206"/>
      <c r="K414" s="205"/>
      <c r="L414" s="206"/>
      <c r="M414" s="205"/>
      <c r="N414" s="206"/>
    </row>
    <row r="415" spans="1:14" s="1" customFormat="1" ht="12.75">
      <c r="A415" s="112"/>
      <c r="B415" s="112"/>
      <c r="C415" s="112"/>
      <c r="D415" s="112"/>
      <c r="E415" s="205"/>
      <c r="F415" s="206"/>
      <c r="G415" s="205"/>
      <c r="H415" s="206"/>
      <c r="I415" s="205"/>
      <c r="J415" s="206"/>
      <c r="K415" s="205"/>
      <c r="L415" s="206"/>
      <c r="M415" s="205"/>
      <c r="N415" s="206"/>
    </row>
    <row r="416" spans="1:14" s="1" customFormat="1" ht="12.75">
      <c r="A416" s="112"/>
      <c r="B416" s="112"/>
      <c r="C416" s="112"/>
      <c r="D416" s="112"/>
      <c r="E416" s="205"/>
      <c r="F416" s="206"/>
      <c r="G416" s="205"/>
      <c r="H416" s="206"/>
      <c r="I416" s="205"/>
      <c r="J416" s="206"/>
      <c r="K416" s="205"/>
      <c r="L416" s="206"/>
      <c r="M416" s="205"/>
      <c r="N416" s="206"/>
    </row>
    <row r="417" spans="1:14" s="1" customFormat="1" ht="12.75">
      <c r="A417" s="112"/>
      <c r="B417" s="112"/>
      <c r="C417" s="112"/>
      <c r="D417" s="112"/>
      <c r="E417" s="205"/>
      <c r="F417" s="206"/>
      <c r="G417" s="205"/>
      <c r="H417" s="206"/>
      <c r="I417" s="205"/>
      <c r="J417" s="206"/>
      <c r="K417" s="205"/>
      <c r="L417" s="206"/>
      <c r="M417" s="205"/>
      <c r="N417" s="206"/>
    </row>
    <row r="418" spans="1:14" s="1" customFormat="1" ht="12.75">
      <c r="A418" s="112"/>
      <c r="B418" s="112"/>
      <c r="C418" s="112"/>
      <c r="D418" s="112"/>
      <c r="E418" s="205"/>
      <c r="F418" s="206"/>
      <c r="G418" s="205"/>
      <c r="H418" s="206"/>
      <c r="I418" s="205"/>
      <c r="J418" s="206"/>
      <c r="K418" s="205"/>
      <c r="L418" s="206"/>
      <c r="M418" s="205"/>
      <c r="N418" s="206"/>
    </row>
    <row r="419" spans="1:14" s="1" customFormat="1" ht="12.75">
      <c r="A419" s="112"/>
      <c r="B419" s="112"/>
      <c r="C419" s="112"/>
      <c r="D419" s="112"/>
      <c r="E419" s="205"/>
      <c r="F419" s="206"/>
      <c r="G419" s="205"/>
      <c r="H419" s="206"/>
      <c r="I419" s="205"/>
      <c r="J419" s="206"/>
      <c r="K419" s="205"/>
      <c r="L419" s="206"/>
      <c r="M419" s="205"/>
      <c r="N419" s="206"/>
    </row>
    <row r="420" spans="1:14" s="1" customFormat="1" ht="12.75">
      <c r="A420" s="112"/>
      <c r="B420" s="112"/>
      <c r="C420" s="112"/>
      <c r="D420" s="112"/>
      <c r="E420" s="205"/>
      <c r="F420" s="206"/>
      <c r="G420" s="205"/>
      <c r="H420" s="206"/>
      <c r="I420" s="205"/>
      <c r="J420" s="206"/>
      <c r="K420" s="205"/>
      <c r="L420" s="206"/>
      <c r="M420" s="205"/>
      <c r="N420" s="206"/>
    </row>
    <row r="421" spans="1:14" s="1" customFormat="1" ht="12.75">
      <c r="A421" s="112"/>
      <c r="B421" s="112"/>
      <c r="C421" s="112"/>
      <c r="D421" s="112"/>
      <c r="E421" s="205"/>
      <c r="F421" s="206"/>
      <c r="G421" s="205"/>
      <c r="H421" s="206"/>
      <c r="I421" s="205"/>
      <c r="J421" s="206"/>
      <c r="K421" s="205"/>
      <c r="L421" s="206"/>
      <c r="M421" s="205"/>
      <c r="N421" s="206"/>
    </row>
    <row r="422" spans="1:14" s="1" customFormat="1" ht="12.75">
      <c r="A422" s="112"/>
      <c r="B422" s="112"/>
      <c r="C422" s="112"/>
      <c r="D422" s="112"/>
      <c r="E422" s="205"/>
      <c r="F422" s="206"/>
      <c r="G422" s="205"/>
      <c r="H422" s="206"/>
      <c r="I422" s="205"/>
      <c r="J422" s="206"/>
      <c r="K422" s="205"/>
      <c r="L422" s="206"/>
      <c r="M422" s="205"/>
      <c r="N422" s="206"/>
    </row>
    <row r="423" spans="1:14" s="1" customFormat="1" ht="12.75">
      <c r="A423" s="112"/>
      <c r="B423" s="112"/>
      <c r="C423" s="112"/>
      <c r="D423" s="112"/>
      <c r="E423" s="205"/>
      <c r="F423" s="206"/>
      <c r="G423" s="205"/>
      <c r="H423" s="206"/>
      <c r="I423" s="205"/>
      <c r="J423" s="206"/>
      <c r="K423" s="205"/>
      <c r="L423" s="206"/>
      <c r="M423" s="205"/>
      <c r="N423" s="206"/>
    </row>
    <row r="424" spans="1:14" s="1" customFormat="1" ht="12.75">
      <c r="A424" s="112"/>
      <c r="B424" s="112"/>
      <c r="C424" s="112"/>
      <c r="D424" s="112"/>
      <c r="E424" s="205"/>
      <c r="F424" s="206"/>
      <c r="G424" s="205"/>
      <c r="H424" s="206"/>
      <c r="I424" s="205"/>
      <c r="J424" s="206"/>
      <c r="K424" s="205"/>
      <c r="L424" s="206"/>
      <c r="M424" s="205"/>
      <c r="N424" s="206"/>
    </row>
    <row r="425" spans="1:14" s="1" customFormat="1" ht="12.75">
      <c r="A425" s="112"/>
      <c r="B425" s="112"/>
      <c r="C425" s="112"/>
      <c r="D425" s="112"/>
      <c r="E425" s="205"/>
      <c r="F425" s="206"/>
      <c r="G425" s="205"/>
      <c r="H425" s="206"/>
      <c r="I425" s="205"/>
      <c r="J425" s="206"/>
      <c r="K425" s="205"/>
      <c r="L425" s="206"/>
      <c r="M425" s="205"/>
      <c r="N425" s="206"/>
    </row>
    <row r="426" spans="1:14" s="1" customFormat="1" ht="12.75">
      <c r="A426" s="112"/>
      <c r="B426" s="112"/>
      <c r="C426" s="112"/>
      <c r="D426" s="112"/>
      <c r="E426" s="205"/>
      <c r="F426" s="206"/>
      <c r="G426" s="205"/>
      <c r="H426" s="206"/>
      <c r="I426" s="205"/>
      <c r="J426" s="206"/>
      <c r="K426" s="205"/>
      <c r="L426" s="206"/>
      <c r="M426" s="205"/>
      <c r="N426" s="206"/>
    </row>
    <row r="427" spans="1:14" s="1" customFormat="1" ht="12.75">
      <c r="A427" s="112"/>
      <c r="B427" s="112"/>
      <c r="C427" s="112"/>
      <c r="D427" s="112"/>
      <c r="E427" s="205"/>
      <c r="F427" s="206"/>
      <c r="G427" s="205"/>
      <c r="H427" s="206"/>
      <c r="I427" s="205"/>
      <c r="J427" s="206"/>
      <c r="K427" s="205"/>
      <c r="L427" s="206"/>
      <c r="M427" s="205"/>
      <c r="N427" s="206"/>
    </row>
    <row r="428" spans="1:14" s="1" customFormat="1" ht="12.75">
      <c r="A428" s="112"/>
      <c r="B428" s="112"/>
      <c r="C428" s="112"/>
      <c r="D428" s="112"/>
      <c r="E428" s="205"/>
      <c r="F428" s="206"/>
      <c r="G428" s="205"/>
      <c r="H428" s="206"/>
      <c r="I428" s="205"/>
      <c r="J428" s="206"/>
      <c r="K428" s="205"/>
      <c r="L428" s="206"/>
      <c r="M428" s="205"/>
      <c r="N428" s="206"/>
    </row>
    <row r="429" spans="1:14" s="1" customFormat="1" ht="12.75">
      <c r="A429" s="112"/>
      <c r="B429" s="112"/>
      <c r="C429" s="112"/>
      <c r="D429" s="112"/>
      <c r="E429" s="205"/>
      <c r="F429" s="206"/>
      <c r="G429" s="205"/>
      <c r="H429" s="206"/>
      <c r="I429" s="205"/>
      <c r="J429" s="206"/>
      <c r="K429" s="205"/>
      <c r="L429" s="206"/>
      <c r="M429" s="205"/>
      <c r="N429" s="206"/>
    </row>
    <row r="430" spans="1:14" s="1" customFormat="1" ht="12.75">
      <c r="A430" s="112"/>
      <c r="B430" s="112"/>
      <c r="C430" s="112"/>
      <c r="D430" s="112"/>
      <c r="E430" s="205"/>
      <c r="F430" s="206"/>
      <c r="G430" s="205"/>
      <c r="H430" s="206"/>
      <c r="I430" s="205"/>
      <c r="J430" s="206"/>
      <c r="K430" s="205"/>
      <c r="L430" s="206"/>
      <c r="M430" s="205"/>
      <c r="N430" s="206"/>
    </row>
    <row r="431" spans="1:14" s="1" customFormat="1" ht="12.75">
      <c r="A431" s="112"/>
      <c r="B431" s="112"/>
      <c r="C431" s="112"/>
      <c r="D431" s="112"/>
      <c r="E431" s="205"/>
      <c r="F431" s="206"/>
      <c r="G431" s="205"/>
      <c r="H431" s="206"/>
      <c r="I431" s="205"/>
      <c r="J431" s="206"/>
      <c r="K431" s="205"/>
      <c r="L431" s="206"/>
      <c r="M431" s="205"/>
      <c r="N431" s="206"/>
    </row>
    <row r="432" spans="1:14" s="1" customFormat="1" ht="12.75">
      <c r="A432" s="112"/>
      <c r="B432" s="112"/>
      <c r="C432" s="112"/>
      <c r="D432" s="112"/>
      <c r="E432" s="205"/>
      <c r="F432" s="206"/>
      <c r="G432" s="205"/>
      <c r="H432" s="206"/>
      <c r="I432" s="205"/>
      <c r="J432" s="206"/>
      <c r="K432" s="205"/>
      <c r="L432" s="206"/>
      <c r="M432" s="205"/>
      <c r="N432" s="206"/>
    </row>
    <row r="433" spans="1:14" s="1" customFormat="1" ht="12.75">
      <c r="A433" s="112"/>
      <c r="B433" s="112"/>
      <c r="C433" s="112"/>
      <c r="D433" s="112"/>
      <c r="E433" s="205"/>
      <c r="F433" s="206"/>
      <c r="G433" s="205"/>
      <c r="H433" s="206"/>
      <c r="I433" s="205"/>
      <c r="J433" s="206"/>
      <c r="K433" s="205"/>
      <c r="L433" s="206"/>
      <c r="M433" s="205"/>
      <c r="N433" s="206"/>
    </row>
    <row r="434" spans="1:14" s="1" customFormat="1" ht="12.75">
      <c r="A434" s="112"/>
      <c r="B434" s="112"/>
      <c r="C434" s="112"/>
      <c r="D434" s="112"/>
      <c r="E434" s="205"/>
      <c r="F434" s="206"/>
      <c r="G434" s="205"/>
      <c r="H434" s="206"/>
      <c r="I434" s="205"/>
      <c r="J434" s="206"/>
      <c r="K434" s="205"/>
      <c r="L434" s="206"/>
      <c r="M434" s="205"/>
      <c r="N434" s="206"/>
    </row>
    <row r="435" spans="1:14" s="1" customFormat="1" ht="12.75">
      <c r="A435" s="112"/>
      <c r="B435" s="112"/>
      <c r="C435" s="112"/>
      <c r="D435" s="112"/>
      <c r="E435" s="205"/>
      <c r="F435" s="206"/>
      <c r="G435" s="205"/>
      <c r="H435" s="206"/>
      <c r="I435" s="205"/>
      <c r="J435" s="206"/>
      <c r="K435" s="205"/>
      <c r="L435" s="206"/>
      <c r="M435" s="205"/>
      <c r="N435" s="206"/>
    </row>
    <row r="436" spans="1:14" s="1" customFormat="1" ht="12.75">
      <c r="A436" s="112"/>
      <c r="B436" s="112"/>
      <c r="C436" s="112"/>
      <c r="D436" s="112"/>
      <c r="E436" s="205"/>
      <c r="F436" s="206"/>
      <c r="G436" s="205"/>
      <c r="H436" s="206"/>
      <c r="I436" s="205"/>
      <c r="J436" s="206"/>
      <c r="K436" s="205"/>
      <c r="L436" s="206"/>
      <c r="M436" s="205"/>
      <c r="N436" s="206"/>
    </row>
    <row r="437" spans="1:14" s="1" customFormat="1" ht="12.75">
      <c r="A437" s="112"/>
      <c r="B437" s="112"/>
      <c r="C437" s="112"/>
      <c r="D437" s="112"/>
      <c r="E437" s="205"/>
      <c r="F437" s="206"/>
      <c r="G437" s="205"/>
      <c r="H437" s="206"/>
      <c r="I437" s="205"/>
      <c r="J437" s="206"/>
      <c r="K437" s="205"/>
      <c r="L437" s="206"/>
      <c r="M437" s="205"/>
      <c r="N437" s="206"/>
    </row>
    <row r="438" spans="1:14" s="1" customFormat="1" ht="12.75">
      <c r="A438" s="112"/>
      <c r="B438" s="112"/>
      <c r="C438" s="112"/>
      <c r="D438" s="112"/>
      <c r="E438" s="205"/>
      <c r="F438" s="206"/>
      <c r="G438" s="205"/>
      <c r="H438" s="206"/>
      <c r="I438" s="205"/>
      <c r="J438" s="206"/>
      <c r="K438" s="205"/>
      <c r="L438" s="206"/>
      <c r="M438" s="205"/>
      <c r="N438" s="206"/>
    </row>
    <row r="439" spans="1:14" s="1" customFormat="1" ht="12.75">
      <c r="A439" s="112"/>
      <c r="B439" s="112"/>
      <c r="C439" s="112"/>
      <c r="D439" s="112"/>
      <c r="E439" s="205"/>
      <c r="F439" s="206"/>
      <c r="G439" s="205"/>
      <c r="H439" s="206"/>
      <c r="I439" s="205"/>
      <c r="J439" s="206"/>
      <c r="K439" s="205"/>
      <c r="L439" s="206"/>
      <c r="M439" s="205"/>
      <c r="N439" s="206"/>
    </row>
    <row r="440" spans="1:14" s="1" customFormat="1" ht="12.75">
      <c r="A440" s="112"/>
      <c r="B440" s="112"/>
      <c r="C440" s="112"/>
      <c r="D440" s="112"/>
      <c r="E440" s="205"/>
      <c r="F440" s="206"/>
      <c r="G440" s="205"/>
      <c r="H440" s="206"/>
      <c r="I440" s="205"/>
      <c r="J440" s="206"/>
      <c r="K440" s="205"/>
      <c r="L440" s="206"/>
      <c r="M440" s="205"/>
      <c r="N440" s="206"/>
    </row>
    <row r="441" spans="1:14" s="1" customFormat="1" ht="12.75">
      <c r="A441" s="112"/>
      <c r="B441" s="112"/>
      <c r="C441" s="112"/>
      <c r="D441" s="112"/>
      <c r="E441" s="205"/>
      <c r="F441" s="206"/>
      <c r="G441" s="205"/>
      <c r="H441" s="206"/>
      <c r="I441" s="205"/>
      <c r="J441" s="206"/>
      <c r="K441" s="205"/>
      <c r="L441" s="206"/>
      <c r="M441" s="205"/>
      <c r="N441" s="206"/>
    </row>
    <row r="442" spans="1:14" s="1" customFormat="1" ht="12.75">
      <c r="A442" s="112"/>
      <c r="B442" s="112"/>
      <c r="C442" s="112"/>
      <c r="D442" s="112"/>
      <c r="E442" s="205"/>
      <c r="F442" s="206"/>
      <c r="G442" s="205"/>
      <c r="H442" s="206"/>
      <c r="I442" s="205"/>
      <c r="J442" s="206"/>
      <c r="K442" s="205"/>
      <c r="L442" s="206"/>
      <c r="M442" s="205"/>
      <c r="N442" s="206"/>
    </row>
    <row r="443" spans="1:14" s="1" customFormat="1" ht="12.75">
      <c r="A443" s="112"/>
      <c r="B443" s="112"/>
      <c r="C443" s="112"/>
      <c r="D443" s="112"/>
      <c r="E443" s="205"/>
      <c r="F443" s="206"/>
      <c r="G443" s="205"/>
      <c r="H443" s="206"/>
      <c r="I443" s="205"/>
      <c r="J443" s="206"/>
      <c r="K443" s="205"/>
      <c r="L443" s="206"/>
      <c r="M443" s="205"/>
      <c r="N443" s="206"/>
    </row>
    <row r="444" spans="1:14" s="1" customFormat="1" ht="12.75">
      <c r="A444" s="112"/>
      <c r="B444" s="112"/>
      <c r="C444" s="112"/>
      <c r="D444" s="112"/>
      <c r="E444" s="205"/>
      <c r="F444" s="206"/>
      <c r="G444" s="205"/>
      <c r="H444" s="206"/>
      <c r="I444" s="205"/>
      <c r="J444" s="206"/>
      <c r="K444" s="205"/>
      <c r="L444" s="206"/>
      <c r="M444" s="205"/>
      <c r="N444" s="206"/>
    </row>
    <row r="445" spans="1:14" s="1" customFormat="1" ht="12.75">
      <c r="A445" s="112"/>
      <c r="B445" s="112"/>
      <c r="C445" s="112"/>
      <c r="D445" s="112"/>
      <c r="E445" s="205"/>
      <c r="F445" s="206"/>
      <c r="G445" s="205"/>
      <c r="H445" s="206"/>
      <c r="I445" s="205"/>
      <c r="J445" s="206"/>
      <c r="K445" s="205"/>
      <c r="L445" s="206"/>
      <c r="M445" s="205"/>
      <c r="N445" s="206"/>
    </row>
    <row r="446" spans="1:14" s="1" customFormat="1" ht="12.75">
      <c r="A446" s="112"/>
      <c r="B446" s="112"/>
      <c r="C446" s="112"/>
      <c r="D446" s="112"/>
      <c r="E446" s="205"/>
      <c r="F446" s="206"/>
      <c r="G446" s="205"/>
      <c r="H446" s="206"/>
      <c r="I446" s="205"/>
      <c r="J446" s="206"/>
      <c r="K446" s="205"/>
      <c r="L446" s="206"/>
      <c r="M446" s="205"/>
      <c r="N446" s="206"/>
    </row>
    <row r="447" spans="1:14" s="1" customFormat="1" ht="12.75">
      <c r="A447" s="112"/>
      <c r="B447" s="112"/>
      <c r="C447" s="112"/>
      <c r="D447" s="112"/>
      <c r="E447" s="205"/>
      <c r="F447" s="206"/>
      <c r="G447" s="205"/>
      <c r="H447" s="206"/>
      <c r="I447" s="205"/>
      <c r="J447" s="206"/>
      <c r="K447" s="205"/>
      <c r="L447" s="206"/>
      <c r="M447" s="205"/>
      <c r="N447" s="206"/>
    </row>
    <row r="448" spans="1:14" s="1" customFormat="1" ht="12.75">
      <c r="A448" s="112"/>
      <c r="B448" s="112"/>
      <c r="C448" s="112"/>
      <c r="D448" s="112"/>
      <c r="E448" s="205"/>
      <c r="F448" s="206"/>
      <c r="G448" s="205"/>
      <c r="H448" s="206"/>
      <c r="I448" s="205"/>
      <c r="J448" s="206"/>
      <c r="K448" s="205"/>
      <c r="L448" s="206"/>
      <c r="M448" s="205"/>
      <c r="N448" s="206"/>
    </row>
    <row r="449" spans="1:14" s="1" customFormat="1" ht="12.75">
      <c r="A449" s="112"/>
      <c r="B449" s="112"/>
      <c r="C449" s="112"/>
      <c r="D449" s="112"/>
      <c r="E449" s="205"/>
      <c r="F449" s="206"/>
      <c r="G449" s="205"/>
      <c r="H449" s="206"/>
      <c r="I449" s="205"/>
      <c r="J449" s="206"/>
      <c r="K449" s="205"/>
      <c r="L449" s="206"/>
      <c r="M449" s="205"/>
      <c r="N449" s="206"/>
    </row>
    <row r="450" spans="1:14" s="1" customFormat="1" ht="12.75">
      <c r="A450" s="112"/>
      <c r="B450" s="112"/>
      <c r="C450" s="112"/>
      <c r="D450" s="112"/>
      <c r="E450" s="205"/>
      <c r="F450" s="206"/>
      <c r="G450" s="205"/>
      <c r="H450" s="206"/>
      <c r="I450" s="205"/>
      <c r="J450" s="206"/>
      <c r="K450" s="205"/>
      <c r="L450" s="206"/>
      <c r="M450" s="205"/>
      <c r="N450" s="206"/>
    </row>
    <row r="451" spans="1:14" s="1" customFormat="1" ht="12.75">
      <c r="A451" s="112"/>
      <c r="B451" s="112"/>
      <c r="C451" s="112"/>
      <c r="D451" s="112"/>
      <c r="E451" s="205"/>
      <c r="F451" s="206"/>
      <c r="G451" s="205"/>
      <c r="H451" s="206"/>
      <c r="I451" s="205"/>
      <c r="J451" s="206"/>
      <c r="K451" s="205"/>
      <c r="L451" s="206"/>
      <c r="M451" s="205"/>
      <c r="N451" s="206"/>
    </row>
    <row r="452" spans="1:14" s="1" customFormat="1" ht="12.75">
      <c r="A452" s="112"/>
      <c r="B452" s="112"/>
      <c r="C452" s="112"/>
      <c r="D452" s="112"/>
      <c r="E452" s="205"/>
      <c r="F452" s="206"/>
      <c r="G452" s="205"/>
      <c r="H452" s="206"/>
      <c r="I452" s="205"/>
      <c r="J452" s="206"/>
      <c r="K452" s="205"/>
      <c r="L452" s="206"/>
      <c r="M452" s="205"/>
      <c r="N452" s="206"/>
    </row>
    <row r="453" spans="1:14" s="1" customFormat="1" ht="12.75">
      <c r="A453" s="112"/>
      <c r="B453" s="112"/>
      <c r="C453" s="112"/>
      <c r="D453" s="112"/>
      <c r="E453" s="205"/>
      <c r="F453" s="206"/>
      <c r="G453" s="205"/>
      <c r="H453" s="206"/>
      <c r="I453" s="205"/>
      <c r="J453" s="206"/>
      <c r="K453" s="205"/>
      <c r="L453" s="206"/>
      <c r="M453" s="205"/>
      <c r="N453" s="206"/>
    </row>
    <row r="454" spans="1:14" s="1" customFormat="1" ht="12.75">
      <c r="A454" s="112"/>
      <c r="B454" s="112"/>
      <c r="C454" s="112"/>
      <c r="D454" s="112"/>
      <c r="E454" s="205"/>
      <c r="F454" s="206"/>
      <c r="G454" s="205"/>
      <c r="H454" s="206"/>
      <c r="I454" s="205"/>
      <c r="J454" s="206"/>
      <c r="K454" s="205"/>
      <c r="L454" s="206"/>
      <c r="M454" s="205"/>
      <c r="N454" s="206"/>
    </row>
    <row r="455" spans="1:14" s="1" customFormat="1" ht="12.75">
      <c r="A455" s="112"/>
      <c r="B455" s="112"/>
      <c r="C455" s="112"/>
      <c r="D455" s="112"/>
      <c r="E455" s="205"/>
      <c r="F455" s="206"/>
      <c r="G455" s="205"/>
      <c r="H455" s="206"/>
      <c r="I455" s="205"/>
      <c r="J455" s="206"/>
      <c r="K455" s="205"/>
      <c r="L455" s="206"/>
      <c r="M455" s="205"/>
      <c r="N455" s="206"/>
    </row>
    <row r="456" spans="1:14" s="1" customFormat="1" ht="12.75">
      <c r="A456" s="112"/>
      <c r="B456" s="112"/>
      <c r="C456" s="112"/>
      <c r="D456" s="112"/>
      <c r="E456" s="205"/>
      <c r="F456" s="206"/>
      <c r="G456" s="205"/>
      <c r="H456" s="206"/>
      <c r="I456" s="205"/>
      <c r="J456" s="206"/>
      <c r="K456" s="205"/>
      <c r="L456" s="206"/>
      <c r="M456" s="205"/>
      <c r="N456" s="206"/>
    </row>
    <row r="457" spans="1:14" s="1" customFormat="1" ht="12.75">
      <c r="A457" s="112"/>
      <c r="B457" s="112"/>
      <c r="C457" s="112"/>
      <c r="D457" s="112"/>
      <c r="E457" s="205"/>
      <c r="F457" s="206"/>
      <c r="G457" s="205"/>
      <c r="H457" s="206"/>
      <c r="I457" s="205"/>
      <c r="J457" s="206"/>
      <c r="K457" s="205"/>
      <c r="L457" s="206"/>
      <c r="M457" s="205"/>
      <c r="N457" s="206"/>
    </row>
    <row r="458" spans="1:14" s="1" customFormat="1" ht="12.75">
      <c r="A458" s="112"/>
      <c r="B458" s="112"/>
      <c r="C458" s="112"/>
      <c r="D458" s="112"/>
      <c r="E458" s="205"/>
      <c r="F458" s="206"/>
      <c r="G458" s="205"/>
      <c r="H458" s="206"/>
      <c r="I458" s="205"/>
      <c r="J458" s="206"/>
      <c r="K458" s="205"/>
      <c r="L458" s="206"/>
      <c r="M458" s="205"/>
      <c r="N458" s="206"/>
    </row>
    <row r="459" spans="1:14" s="1" customFormat="1" ht="12.75">
      <c r="A459" s="112"/>
      <c r="B459" s="112"/>
      <c r="C459" s="112"/>
      <c r="D459" s="112"/>
      <c r="E459" s="205"/>
      <c r="F459" s="206"/>
      <c r="G459" s="205"/>
      <c r="H459" s="206"/>
      <c r="I459" s="205"/>
      <c r="J459" s="206"/>
      <c r="K459" s="205"/>
      <c r="L459" s="206"/>
      <c r="M459" s="205"/>
      <c r="N459" s="206"/>
    </row>
    <row r="460" spans="1:14" s="1" customFormat="1" ht="12.75">
      <c r="A460" s="112"/>
      <c r="B460" s="112"/>
      <c r="C460" s="112"/>
      <c r="D460" s="112"/>
      <c r="E460" s="205"/>
      <c r="F460" s="206"/>
      <c r="G460" s="205"/>
      <c r="H460" s="206"/>
      <c r="I460" s="205"/>
      <c r="J460" s="206"/>
      <c r="K460" s="205"/>
      <c r="L460" s="206"/>
      <c r="M460" s="205"/>
      <c r="N460" s="206"/>
    </row>
    <row r="461" spans="1:14" s="1" customFormat="1" ht="12.75">
      <c r="A461" s="112"/>
      <c r="B461" s="112"/>
      <c r="C461" s="112"/>
      <c r="D461" s="112"/>
      <c r="E461" s="205"/>
      <c r="F461" s="206"/>
      <c r="G461" s="205"/>
      <c r="H461" s="206"/>
      <c r="I461" s="205"/>
      <c r="J461" s="206"/>
      <c r="K461" s="205"/>
      <c r="L461" s="206"/>
      <c r="M461" s="205"/>
      <c r="N461" s="206"/>
    </row>
    <row r="462" spans="1:14" s="1" customFormat="1" ht="12.75">
      <c r="A462" s="112"/>
      <c r="B462" s="112"/>
      <c r="C462" s="112"/>
      <c r="D462" s="112"/>
      <c r="E462" s="205"/>
      <c r="F462" s="206"/>
      <c r="G462" s="205"/>
      <c r="H462" s="206"/>
      <c r="I462" s="205"/>
      <c r="J462" s="206"/>
      <c r="K462" s="205"/>
      <c r="L462" s="206"/>
      <c r="M462" s="205"/>
      <c r="N462" s="206"/>
    </row>
    <row r="463" spans="1:14" s="1" customFormat="1" ht="12.75">
      <c r="A463" s="112"/>
      <c r="B463" s="112"/>
      <c r="C463" s="112"/>
      <c r="D463" s="112"/>
      <c r="E463" s="205"/>
      <c r="F463" s="206"/>
      <c r="G463" s="205"/>
      <c r="H463" s="206"/>
      <c r="I463" s="205"/>
      <c r="J463" s="206"/>
      <c r="K463" s="205"/>
      <c r="L463" s="206"/>
      <c r="M463" s="205"/>
      <c r="N463" s="206"/>
    </row>
    <row r="464" spans="1:14" s="1" customFormat="1" ht="12.75">
      <c r="A464" s="112"/>
      <c r="B464" s="112"/>
      <c r="C464" s="112"/>
      <c r="D464" s="112"/>
      <c r="E464" s="205"/>
      <c r="F464" s="206"/>
      <c r="G464" s="205"/>
      <c r="H464" s="206"/>
      <c r="I464" s="205"/>
      <c r="J464" s="206"/>
      <c r="K464" s="205"/>
      <c r="L464" s="206"/>
      <c r="M464" s="205"/>
      <c r="N464" s="206"/>
    </row>
    <row r="465" spans="1:14" s="1" customFormat="1" ht="12.75">
      <c r="A465" s="112"/>
      <c r="B465" s="112"/>
      <c r="C465" s="112"/>
      <c r="D465" s="112"/>
      <c r="E465" s="205"/>
      <c r="F465" s="206"/>
      <c r="G465" s="205"/>
      <c r="H465" s="206"/>
      <c r="I465" s="205"/>
      <c r="J465" s="206"/>
      <c r="K465" s="205"/>
      <c r="L465" s="206"/>
      <c r="M465" s="205"/>
      <c r="N465" s="206"/>
    </row>
    <row r="466" spans="1:14" s="1" customFormat="1" ht="12.75">
      <c r="A466" s="112"/>
      <c r="B466" s="112"/>
      <c r="C466" s="112"/>
      <c r="D466" s="112"/>
      <c r="E466" s="205"/>
      <c r="F466" s="206"/>
      <c r="G466" s="205"/>
      <c r="H466" s="206"/>
      <c r="I466" s="205"/>
      <c r="J466" s="206"/>
      <c r="K466" s="205"/>
      <c r="L466" s="206"/>
      <c r="M466" s="205"/>
      <c r="N466" s="206"/>
    </row>
    <row r="467" spans="1:14" s="1" customFormat="1" ht="12.75">
      <c r="A467" s="112"/>
      <c r="B467" s="112"/>
      <c r="C467" s="112"/>
      <c r="D467" s="112"/>
      <c r="E467" s="205"/>
      <c r="F467" s="206"/>
      <c r="G467" s="205"/>
      <c r="H467" s="206"/>
      <c r="I467" s="205"/>
      <c r="J467" s="206"/>
      <c r="K467" s="205"/>
      <c r="L467" s="206"/>
      <c r="M467" s="205"/>
      <c r="N467" s="206"/>
    </row>
    <row r="468" spans="1:14" s="1" customFormat="1" ht="12.75">
      <c r="A468" s="112"/>
      <c r="B468" s="112"/>
      <c r="C468" s="112"/>
      <c r="D468" s="112"/>
      <c r="E468" s="205"/>
      <c r="F468" s="206"/>
      <c r="G468" s="205"/>
      <c r="H468" s="206"/>
      <c r="I468" s="205"/>
      <c r="J468" s="206"/>
      <c r="K468" s="205"/>
      <c r="L468" s="206"/>
      <c r="M468" s="205"/>
      <c r="N468" s="206"/>
    </row>
    <row r="469" spans="1:14" s="1" customFormat="1" ht="12.75">
      <c r="A469" s="112"/>
      <c r="B469" s="112"/>
      <c r="C469" s="112"/>
      <c r="D469" s="112"/>
      <c r="E469" s="205"/>
      <c r="F469" s="206"/>
      <c r="G469" s="205"/>
      <c r="H469" s="206"/>
      <c r="I469" s="205"/>
      <c r="J469" s="206"/>
      <c r="K469" s="205"/>
      <c r="L469" s="206"/>
      <c r="M469" s="205"/>
      <c r="N469" s="206"/>
    </row>
    <row r="470" spans="1:14" s="1" customFormat="1" ht="12.75">
      <c r="A470" s="112"/>
      <c r="B470" s="112"/>
      <c r="C470" s="112"/>
      <c r="D470" s="112"/>
      <c r="E470" s="205"/>
      <c r="F470" s="206"/>
      <c r="G470" s="205"/>
      <c r="H470" s="206"/>
      <c r="I470" s="205"/>
      <c r="J470" s="206"/>
      <c r="K470" s="205"/>
      <c r="L470" s="206"/>
      <c r="M470" s="205"/>
      <c r="N470" s="206"/>
    </row>
    <row r="471" spans="1:14" s="1" customFormat="1" ht="12.75">
      <c r="A471" s="112"/>
      <c r="B471" s="112"/>
      <c r="C471" s="112"/>
      <c r="D471" s="112"/>
      <c r="E471" s="205"/>
      <c r="F471" s="206"/>
      <c r="G471" s="205"/>
      <c r="H471" s="206"/>
      <c r="I471" s="205"/>
      <c r="J471" s="206"/>
      <c r="K471" s="205"/>
      <c r="L471" s="206"/>
      <c r="M471" s="205"/>
      <c r="N471" s="206"/>
    </row>
    <row r="472" spans="1:14" s="1" customFormat="1" ht="12.75">
      <c r="A472" s="112"/>
      <c r="B472" s="112"/>
      <c r="C472" s="112"/>
      <c r="D472" s="112"/>
      <c r="E472" s="205"/>
      <c r="F472" s="206"/>
      <c r="G472" s="205"/>
      <c r="H472" s="206"/>
      <c r="I472" s="205"/>
      <c r="J472" s="206"/>
      <c r="K472" s="205"/>
      <c r="L472" s="206"/>
      <c r="M472" s="205"/>
      <c r="N472" s="206"/>
    </row>
    <row r="473" spans="1:14" s="1" customFormat="1" ht="12.75">
      <c r="A473" s="112"/>
      <c r="B473" s="112"/>
      <c r="C473" s="112"/>
      <c r="D473" s="112"/>
      <c r="E473" s="205"/>
      <c r="F473" s="206"/>
      <c r="G473" s="205"/>
      <c r="H473" s="206"/>
      <c r="I473" s="205"/>
      <c r="J473" s="206"/>
      <c r="K473" s="205"/>
      <c r="L473" s="206"/>
      <c r="M473" s="205"/>
      <c r="N473" s="206"/>
    </row>
    <row r="474" spans="1:14" s="1" customFormat="1" ht="12.75">
      <c r="A474" s="112"/>
      <c r="B474" s="112"/>
      <c r="C474" s="112"/>
      <c r="D474" s="112"/>
      <c r="E474" s="205"/>
      <c r="F474" s="206"/>
      <c r="G474" s="205"/>
      <c r="H474" s="206"/>
      <c r="I474" s="205"/>
      <c r="J474" s="206"/>
      <c r="K474" s="205"/>
      <c r="L474" s="206"/>
      <c r="M474" s="205"/>
      <c r="N474" s="206"/>
    </row>
    <row r="475" spans="1:14" s="1" customFormat="1" ht="12.75">
      <c r="A475" s="112"/>
      <c r="B475" s="112"/>
      <c r="C475" s="112"/>
      <c r="D475" s="112"/>
      <c r="E475" s="205"/>
      <c r="F475" s="206"/>
      <c r="G475" s="205"/>
      <c r="H475" s="206"/>
      <c r="I475" s="205"/>
      <c r="J475" s="206"/>
      <c r="K475" s="205"/>
      <c r="L475" s="206"/>
      <c r="M475" s="205"/>
      <c r="N475" s="206"/>
    </row>
    <row r="476" spans="1:14" s="1" customFormat="1" ht="12.75">
      <c r="A476" s="112"/>
      <c r="B476" s="112"/>
      <c r="C476" s="112"/>
      <c r="D476" s="112"/>
      <c r="E476" s="205"/>
      <c r="F476" s="206"/>
      <c r="G476" s="205"/>
      <c r="H476" s="206"/>
      <c r="I476" s="205"/>
      <c r="J476" s="206"/>
      <c r="K476" s="205"/>
      <c r="L476" s="206"/>
      <c r="M476" s="205"/>
      <c r="N476" s="206"/>
    </row>
    <row r="477" spans="1:14" s="1" customFormat="1" ht="12.75">
      <c r="A477" s="112"/>
      <c r="B477" s="112"/>
      <c r="C477" s="112"/>
      <c r="D477" s="112"/>
      <c r="E477" s="205"/>
      <c r="F477" s="206"/>
      <c r="G477" s="205"/>
      <c r="H477" s="206"/>
      <c r="I477" s="205"/>
      <c r="J477" s="206"/>
      <c r="K477" s="205"/>
      <c r="L477" s="206"/>
      <c r="M477" s="205"/>
      <c r="N477" s="206"/>
    </row>
    <row r="478" spans="1:14" s="1" customFormat="1" ht="12.75">
      <c r="A478" s="112"/>
      <c r="B478" s="112"/>
      <c r="C478" s="112"/>
      <c r="D478" s="112"/>
      <c r="E478" s="205"/>
      <c r="F478" s="206"/>
      <c r="G478" s="205"/>
      <c r="H478" s="206"/>
      <c r="I478" s="205"/>
      <c r="J478" s="206"/>
      <c r="K478" s="205"/>
      <c r="L478" s="206"/>
      <c r="M478" s="205"/>
      <c r="N478" s="206"/>
    </row>
    <row r="479" spans="1:14" s="1" customFormat="1" ht="12.75">
      <c r="A479" s="112"/>
      <c r="B479" s="112"/>
      <c r="C479" s="112"/>
      <c r="D479" s="112"/>
      <c r="E479" s="205"/>
      <c r="F479" s="206"/>
      <c r="G479" s="205"/>
      <c r="H479" s="206"/>
      <c r="I479" s="205"/>
      <c r="J479" s="206"/>
      <c r="K479" s="205"/>
      <c r="L479" s="206"/>
      <c r="M479" s="205"/>
      <c r="N479" s="206"/>
    </row>
    <row r="480" spans="1:14" s="1" customFormat="1" ht="12.75">
      <c r="A480" s="112"/>
      <c r="B480" s="112"/>
      <c r="C480" s="112"/>
      <c r="D480" s="112"/>
      <c r="E480" s="205"/>
      <c r="F480" s="206"/>
      <c r="G480" s="205"/>
      <c r="H480" s="206"/>
      <c r="I480" s="205"/>
      <c r="J480" s="206"/>
      <c r="K480" s="205"/>
      <c r="L480" s="206"/>
      <c r="M480" s="205"/>
      <c r="N480" s="206"/>
    </row>
    <row r="481" spans="1:14" s="1" customFormat="1" ht="12.75">
      <c r="A481" s="112"/>
      <c r="B481" s="112"/>
      <c r="C481" s="112"/>
      <c r="D481" s="112"/>
      <c r="E481" s="205"/>
      <c r="F481" s="206"/>
      <c r="G481" s="205"/>
      <c r="H481" s="206"/>
      <c r="I481" s="205"/>
      <c r="J481" s="206"/>
      <c r="K481" s="205"/>
      <c r="L481" s="206"/>
      <c r="M481" s="205"/>
      <c r="N481" s="206"/>
    </row>
    <row r="482" spans="1:14" s="1" customFormat="1" ht="12.75">
      <c r="A482" s="112"/>
      <c r="B482" s="112"/>
      <c r="C482" s="112"/>
      <c r="D482" s="112"/>
      <c r="E482" s="205"/>
      <c r="F482" s="206"/>
      <c r="G482" s="205"/>
      <c r="H482" s="206"/>
      <c r="I482" s="205"/>
      <c r="J482" s="206"/>
      <c r="K482" s="205"/>
      <c r="L482" s="206"/>
      <c r="M482" s="205"/>
      <c r="N482" s="206"/>
    </row>
    <row r="483" spans="1:14" s="1" customFormat="1" ht="12.75">
      <c r="A483" s="112"/>
      <c r="B483" s="112"/>
      <c r="C483" s="112"/>
      <c r="D483" s="112"/>
      <c r="E483" s="205"/>
      <c r="F483" s="206"/>
      <c r="G483" s="205"/>
      <c r="H483" s="206"/>
      <c r="I483" s="205"/>
      <c r="J483" s="206"/>
      <c r="K483" s="205"/>
      <c r="L483" s="206"/>
      <c r="M483" s="205"/>
      <c r="N483" s="206"/>
    </row>
    <row r="484" spans="1:14" s="1" customFormat="1" ht="12.75">
      <c r="A484" s="112"/>
      <c r="B484" s="112"/>
      <c r="C484" s="112"/>
      <c r="D484" s="112"/>
      <c r="E484" s="205"/>
      <c r="F484" s="206"/>
      <c r="G484" s="205"/>
      <c r="H484" s="206"/>
      <c r="I484" s="205"/>
      <c r="J484" s="206"/>
      <c r="K484" s="205"/>
      <c r="L484" s="206"/>
      <c r="M484" s="205"/>
      <c r="N484" s="206"/>
    </row>
    <row r="485" spans="1:14" s="1" customFormat="1" ht="12.75">
      <c r="A485" s="112"/>
      <c r="B485" s="112"/>
      <c r="C485" s="112"/>
      <c r="D485" s="112"/>
      <c r="E485" s="205"/>
      <c r="F485" s="206"/>
      <c r="G485" s="205"/>
      <c r="H485" s="206"/>
      <c r="I485" s="205"/>
      <c r="J485" s="206"/>
      <c r="K485" s="205"/>
      <c r="L485" s="206"/>
      <c r="M485" s="205"/>
      <c r="N485" s="206"/>
    </row>
    <row r="486" spans="1:14" s="1" customFormat="1" ht="12.75">
      <c r="A486" s="112"/>
      <c r="B486" s="112"/>
      <c r="C486" s="112"/>
      <c r="D486" s="112"/>
      <c r="E486" s="205"/>
      <c r="F486" s="206"/>
      <c r="G486" s="205"/>
      <c r="H486" s="206"/>
      <c r="I486" s="205"/>
      <c r="J486" s="206"/>
      <c r="K486" s="205"/>
      <c r="L486" s="206"/>
      <c r="M486" s="205"/>
      <c r="N486" s="206"/>
    </row>
    <row r="487" spans="1:14" s="1" customFormat="1" ht="12.75">
      <c r="A487" s="112"/>
      <c r="B487" s="112"/>
      <c r="C487" s="112"/>
      <c r="D487" s="112"/>
      <c r="E487" s="205"/>
      <c r="F487" s="206"/>
      <c r="G487" s="205"/>
      <c r="H487" s="206"/>
      <c r="I487" s="205"/>
      <c r="J487" s="206"/>
      <c r="K487" s="205"/>
      <c r="L487" s="206"/>
      <c r="M487" s="205"/>
      <c r="N487" s="206"/>
    </row>
    <row r="488" spans="1:14" s="1" customFormat="1" ht="12.75">
      <c r="A488" s="112"/>
      <c r="B488" s="112"/>
      <c r="C488" s="112"/>
      <c r="D488" s="112"/>
      <c r="E488" s="205"/>
      <c r="F488" s="206"/>
      <c r="G488" s="205"/>
      <c r="H488" s="206"/>
      <c r="I488" s="205"/>
      <c r="J488" s="206"/>
      <c r="K488" s="205"/>
      <c r="L488" s="206"/>
      <c r="M488" s="205"/>
      <c r="N488" s="206"/>
    </row>
    <row r="489" spans="1:14" s="1" customFormat="1" ht="12.75">
      <c r="A489" s="112"/>
      <c r="B489" s="112"/>
      <c r="C489" s="112"/>
      <c r="D489" s="112"/>
      <c r="E489" s="205"/>
      <c r="F489" s="206"/>
      <c r="G489" s="205"/>
      <c r="H489" s="206"/>
      <c r="I489" s="205"/>
      <c r="J489" s="206"/>
      <c r="K489" s="205"/>
      <c r="L489" s="206"/>
      <c r="M489" s="205"/>
      <c r="N489" s="206"/>
    </row>
    <row r="490" spans="1:14" s="1" customFormat="1" ht="12.75">
      <c r="A490" s="112"/>
      <c r="B490" s="112"/>
      <c r="C490" s="112"/>
      <c r="D490" s="112"/>
      <c r="E490" s="205"/>
      <c r="F490" s="206"/>
      <c r="G490" s="205"/>
      <c r="H490" s="206"/>
      <c r="I490" s="205"/>
      <c r="J490" s="206"/>
      <c r="K490" s="205"/>
      <c r="L490" s="206"/>
      <c r="M490" s="205"/>
      <c r="N490" s="206"/>
    </row>
    <row r="491" spans="1:14" s="1" customFormat="1" ht="12.75">
      <c r="A491" s="112"/>
      <c r="B491" s="112"/>
      <c r="C491" s="112"/>
      <c r="D491" s="112"/>
      <c r="E491" s="205"/>
      <c r="F491" s="206"/>
      <c r="G491" s="205"/>
      <c r="H491" s="206"/>
      <c r="I491" s="205"/>
      <c r="J491" s="206"/>
      <c r="K491" s="205"/>
      <c r="L491" s="206"/>
      <c r="M491" s="205"/>
      <c r="N491" s="206"/>
    </row>
    <row r="492" spans="1:14" s="1" customFormat="1" ht="12.75">
      <c r="A492" s="112"/>
      <c r="B492" s="112"/>
      <c r="C492" s="112"/>
      <c r="D492" s="112"/>
      <c r="E492" s="205"/>
      <c r="F492" s="206"/>
      <c r="G492" s="205"/>
      <c r="H492" s="206"/>
      <c r="I492" s="205"/>
      <c r="J492" s="206"/>
      <c r="K492" s="205"/>
      <c r="L492" s="206"/>
      <c r="M492" s="205"/>
      <c r="N492" s="206"/>
    </row>
    <row r="493" spans="1:14" s="1" customFormat="1" ht="12.75">
      <c r="A493" s="112"/>
      <c r="B493" s="112"/>
      <c r="C493" s="112"/>
      <c r="D493" s="112"/>
      <c r="E493" s="205"/>
      <c r="F493" s="206"/>
      <c r="G493" s="205"/>
      <c r="H493" s="206"/>
      <c r="I493" s="205"/>
      <c r="J493" s="206"/>
      <c r="K493" s="205"/>
      <c r="L493" s="206"/>
      <c r="M493" s="205"/>
      <c r="N493" s="206"/>
    </row>
    <row r="494" spans="1:14" s="1" customFormat="1" ht="12.75">
      <c r="A494" s="112"/>
      <c r="B494" s="112"/>
      <c r="C494" s="112"/>
      <c r="D494" s="112"/>
      <c r="E494" s="205"/>
      <c r="F494" s="206"/>
      <c r="G494" s="205"/>
      <c r="H494" s="206"/>
      <c r="I494" s="205"/>
      <c r="J494" s="206"/>
      <c r="K494" s="205"/>
      <c r="L494" s="206"/>
      <c r="M494" s="205"/>
      <c r="N494" s="206"/>
    </row>
    <row r="495" spans="1:14" s="1" customFormat="1" ht="12.75">
      <c r="A495" s="112"/>
      <c r="B495" s="112"/>
      <c r="C495" s="112"/>
      <c r="D495" s="112"/>
      <c r="E495" s="205"/>
      <c r="F495" s="206"/>
      <c r="G495" s="205"/>
      <c r="H495" s="206"/>
      <c r="I495" s="205"/>
      <c r="J495" s="206"/>
      <c r="K495" s="205"/>
      <c r="L495" s="206"/>
      <c r="M495" s="205"/>
      <c r="N495" s="206"/>
    </row>
    <row r="496" spans="1:14" s="1" customFormat="1" ht="12.75">
      <c r="A496" s="112"/>
      <c r="B496" s="112"/>
      <c r="C496" s="112"/>
      <c r="D496" s="112"/>
      <c r="E496" s="205"/>
      <c r="F496" s="206"/>
      <c r="G496" s="205"/>
      <c r="H496" s="206"/>
      <c r="I496" s="205"/>
      <c r="J496" s="206"/>
      <c r="K496" s="205"/>
      <c r="L496" s="206"/>
      <c r="M496" s="205"/>
      <c r="N496" s="206"/>
    </row>
    <row r="497" spans="1:14" s="1" customFormat="1" ht="12.75">
      <c r="A497" s="112"/>
      <c r="B497" s="112"/>
      <c r="C497" s="112"/>
      <c r="D497" s="112"/>
      <c r="E497" s="205"/>
      <c r="F497" s="206"/>
      <c r="G497" s="205"/>
      <c r="H497" s="206"/>
      <c r="I497" s="205"/>
      <c r="J497" s="206"/>
      <c r="K497" s="205"/>
      <c r="L497" s="206"/>
      <c r="M497" s="205"/>
      <c r="N497" s="206"/>
    </row>
    <row r="498" spans="1:14" s="1" customFormat="1" ht="12.75">
      <c r="A498" s="112"/>
      <c r="B498" s="112"/>
      <c r="C498" s="112"/>
      <c r="D498" s="112"/>
      <c r="E498" s="205"/>
      <c r="F498" s="206"/>
      <c r="G498" s="205"/>
      <c r="H498" s="206"/>
      <c r="I498" s="205"/>
      <c r="J498" s="206"/>
      <c r="K498" s="205"/>
      <c r="L498" s="206"/>
      <c r="M498" s="205"/>
      <c r="N498" s="206"/>
    </row>
    <row r="499" spans="1:14" s="1" customFormat="1" ht="12.75">
      <c r="A499" s="112"/>
      <c r="B499" s="112"/>
      <c r="C499" s="112"/>
      <c r="D499" s="112"/>
      <c r="E499" s="205"/>
      <c r="F499" s="206"/>
      <c r="G499" s="205"/>
      <c r="H499" s="206"/>
      <c r="I499" s="205"/>
      <c r="J499" s="206"/>
      <c r="K499" s="205"/>
      <c r="L499" s="206"/>
      <c r="M499" s="205"/>
      <c r="N499" s="206"/>
    </row>
    <row r="500" spans="1:14" s="1" customFormat="1" ht="12.75">
      <c r="A500" s="112"/>
      <c r="B500" s="112"/>
      <c r="C500" s="112"/>
      <c r="D500" s="112"/>
      <c r="E500" s="205"/>
      <c r="F500" s="206"/>
      <c r="G500" s="205"/>
      <c r="H500" s="206"/>
      <c r="I500" s="205"/>
      <c r="J500" s="206"/>
      <c r="K500" s="205"/>
      <c r="L500" s="206"/>
      <c r="M500" s="205"/>
      <c r="N500" s="206"/>
    </row>
    <row r="501" spans="1:14" s="1" customFormat="1" ht="12.75">
      <c r="A501" s="112"/>
      <c r="B501" s="112"/>
      <c r="C501" s="112"/>
      <c r="D501" s="112"/>
      <c r="E501" s="205"/>
      <c r="F501" s="206"/>
      <c r="G501" s="205"/>
      <c r="H501" s="206"/>
      <c r="I501" s="205"/>
      <c r="J501" s="206"/>
      <c r="K501" s="205"/>
      <c r="L501" s="206"/>
      <c r="M501" s="205"/>
      <c r="N501" s="206"/>
    </row>
    <row r="502" spans="1:14" s="1" customFormat="1" ht="12.75">
      <c r="A502" s="112"/>
      <c r="B502" s="112"/>
      <c r="C502" s="112"/>
      <c r="D502" s="112"/>
      <c r="E502" s="205"/>
      <c r="F502" s="206"/>
      <c r="G502" s="205"/>
      <c r="H502" s="206"/>
      <c r="I502" s="205"/>
      <c r="J502" s="206"/>
      <c r="K502" s="205"/>
      <c r="L502" s="206"/>
      <c r="M502" s="205"/>
      <c r="N502" s="206"/>
    </row>
    <row r="503" spans="1:14" s="1" customFormat="1" ht="12.75">
      <c r="A503" s="112"/>
      <c r="B503" s="112"/>
      <c r="C503" s="112"/>
      <c r="D503" s="112"/>
      <c r="E503" s="205"/>
      <c r="F503" s="206"/>
      <c r="G503" s="205"/>
      <c r="H503" s="206"/>
      <c r="I503" s="205"/>
      <c r="J503" s="206"/>
      <c r="K503" s="205"/>
      <c r="L503" s="206"/>
      <c r="M503" s="205"/>
      <c r="N503" s="206"/>
    </row>
    <row r="504" spans="1:14" s="1" customFormat="1" ht="12.75">
      <c r="A504" s="112"/>
      <c r="B504" s="112"/>
      <c r="C504" s="112"/>
      <c r="D504" s="112"/>
      <c r="E504" s="205"/>
      <c r="F504" s="206"/>
      <c r="G504" s="205"/>
      <c r="H504" s="206"/>
      <c r="I504" s="205"/>
      <c r="J504" s="206"/>
      <c r="K504" s="205"/>
      <c r="L504" s="206"/>
      <c r="M504" s="205"/>
      <c r="N504" s="206"/>
    </row>
    <row r="505" spans="1:14" s="1" customFormat="1" ht="12.75">
      <c r="A505" s="112"/>
      <c r="B505" s="112"/>
      <c r="C505" s="112"/>
      <c r="D505" s="112"/>
      <c r="E505" s="205"/>
      <c r="F505" s="206"/>
      <c r="G505" s="205"/>
      <c r="H505" s="206"/>
      <c r="I505" s="205"/>
      <c r="J505" s="206"/>
      <c r="K505" s="205"/>
      <c r="L505" s="206"/>
      <c r="M505" s="205"/>
      <c r="N505" s="206"/>
    </row>
    <row r="506" spans="1:14" s="1" customFormat="1" ht="12.75">
      <c r="A506" s="112"/>
      <c r="B506" s="112"/>
      <c r="C506" s="112"/>
      <c r="D506" s="112"/>
      <c r="E506" s="205"/>
      <c r="F506" s="206"/>
      <c r="G506" s="205"/>
      <c r="H506" s="206"/>
      <c r="I506" s="205"/>
      <c r="J506" s="206"/>
      <c r="K506" s="205"/>
      <c r="L506" s="206"/>
      <c r="M506" s="205"/>
      <c r="N506" s="206"/>
    </row>
    <row r="507" spans="1:14" s="1" customFormat="1" ht="12.75">
      <c r="A507" s="112"/>
      <c r="B507" s="112"/>
      <c r="C507" s="112"/>
      <c r="D507" s="112"/>
      <c r="E507" s="205"/>
      <c r="F507" s="206"/>
      <c r="G507" s="205"/>
      <c r="H507" s="206"/>
      <c r="I507" s="205"/>
      <c r="J507" s="206"/>
      <c r="K507" s="205"/>
      <c r="L507" s="206"/>
      <c r="M507" s="205"/>
      <c r="N507" s="206"/>
    </row>
    <row r="508" spans="1:14" s="1" customFormat="1" ht="12.75">
      <c r="A508" s="112"/>
      <c r="B508" s="112"/>
      <c r="C508" s="112"/>
      <c r="D508" s="112"/>
      <c r="E508" s="205"/>
      <c r="F508" s="206"/>
      <c r="G508" s="205"/>
      <c r="H508" s="206"/>
      <c r="I508" s="205"/>
      <c r="J508" s="206"/>
      <c r="K508" s="205"/>
      <c r="L508" s="206"/>
      <c r="M508" s="205"/>
      <c r="N508" s="206"/>
    </row>
    <row r="509" spans="1:14" s="1" customFormat="1" ht="12.75">
      <c r="A509" s="112"/>
      <c r="B509" s="112"/>
      <c r="C509" s="112"/>
      <c r="D509" s="112"/>
      <c r="E509" s="205"/>
      <c r="F509" s="206"/>
      <c r="G509" s="205"/>
      <c r="H509" s="206"/>
      <c r="I509" s="205"/>
      <c r="J509" s="206"/>
      <c r="K509" s="205"/>
      <c r="L509" s="206"/>
      <c r="M509" s="205"/>
      <c r="N509" s="206"/>
    </row>
    <row r="510" spans="1:14" s="1" customFormat="1" ht="12.75">
      <c r="A510" s="112"/>
      <c r="B510" s="112"/>
      <c r="C510" s="112"/>
      <c r="D510" s="112"/>
      <c r="E510" s="205"/>
      <c r="F510" s="206"/>
      <c r="G510" s="205"/>
      <c r="H510" s="206"/>
      <c r="I510" s="205"/>
      <c r="J510" s="206"/>
      <c r="K510" s="205"/>
      <c r="L510" s="206"/>
      <c r="M510" s="205"/>
      <c r="N510" s="206"/>
    </row>
    <row r="511" spans="1:14" s="1" customFormat="1" ht="12.75">
      <c r="A511" s="112"/>
      <c r="B511" s="112"/>
      <c r="C511" s="112"/>
      <c r="D511" s="112"/>
      <c r="E511" s="205"/>
      <c r="F511" s="206"/>
      <c r="G511" s="205"/>
      <c r="H511" s="206"/>
      <c r="I511" s="205"/>
      <c r="J511" s="206"/>
      <c r="K511" s="205"/>
      <c r="L511" s="206"/>
      <c r="M511" s="205"/>
      <c r="N511" s="206"/>
    </row>
    <row r="512" spans="1:14" s="1" customFormat="1" ht="12.75">
      <c r="A512" s="112"/>
      <c r="B512" s="112"/>
      <c r="C512" s="112"/>
      <c r="D512" s="112"/>
      <c r="E512" s="205"/>
      <c r="F512" s="206"/>
      <c r="G512" s="205"/>
      <c r="H512" s="206"/>
      <c r="I512" s="205"/>
      <c r="J512" s="206"/>
      <c r="K512" s="205"/>
      <c r="L512" s="206"/>
      <c r="M512" s="205"/>
      <c r="N512" s="206"/>
    </row>
    <row r="513" spans="1:14" s="1" customFormat="1" ht="12.75">
      <c r="A513" s="112"/>
      <c r="B513" s="112"/>
      <c r="C513" s="112"/>
      <c r="D513" s="112"/>
      <c r="E513" s="205"/>
      <c r="F513" s="206"/>
      <c r="G513" s="205"/>
      <c r="H513" s="206"/>
      <c r="I513" s="205"/>
      <c r="J513" s="206"/>
      <c r="K513" s="205"/>
      <c r="L513" s="206"/>
      <c r="M513" s="205"/>
      <c r="N513" s="206"/>
    </row>
    <row r="514" spans="1:14" s="1" customFormat="1" ht="12.75">
      <c r="A514" s="112"/>
      <c r="B514" s="112"/>
      <c r="C514" s="112"/>
      <c r="D514" s="112"/>
      <c r="E514" s="205"/>
      <c r="F514" s="206"/>
      <c r="G514" s="205"/>
      <c r="H514" s="206"/>
      <c r="I514" s="205"/>
      <c r="J514" s="206"/>
      <c r="K514" s="205"/>
      <c r="L514" s="206"/>
      <c r="M514" s="205"/>
      <c r="N514" s="206"/>
    </row>
    <row r="515" spans="1:14" s="1" customFormat="1" ht="12.75">
      <c r="A515" s="112"/>
      <c r="B515" s="112"/>
      <c r="C515" s="112"/>
      <c r="D515" s="112"/>
      <c r="E515" s="205"/>
      <c r="F515" s="206"/>
      <c r="G515" s="205"/>
      <c r="H515" s="206"/>
      <c r="I515" s="205"/>
      <c r="J515" s="206"/>
      <c r="K515" s="205"/>
      <c r="L515" s="206"/>
      <c r="M515" s="205"/>
      <c r="N515" s="206"/>
    </row>
    <row r="516" spans="1:14" s="1" customFormat="1" ht="12.75">
      <c r="A516" s="112"/>
      <c r="B516" s="112"/>
      <c r="C516" s="112"/>
      <c r="D516" s="112"/>
      <c r="E516" s="205"/>
      <c r="F516" s="206"/>
      <c r="G516" s="205"/>
      <c r="H516" s="206"/>
      <c r="I516" s="205"/>
      <c r="J516" s="206"/>
      <c r="K516" s="205"/>
      <c r="L516" s="206"/>
      <c r="M516" s="205"/>
      <c r="N516" s="206"/>
    </row>
    <row r="517" spans="1:14" s="1" customFormat="1" ht="12.75">
      <c r="A517" s="112"/>
      <c r="B517" s="112"/>
      <c r="C517" s="112"/>
      <c r="D517" s="112"/>
      <c r="E517" s="205"/>
      <c r="F517" s="206"/>
      <c r="G517" s="205"/>
      <c r="H517" s="206"/>
      <c r="I517" s="205"/>
      <c r="J517" s="206"/>
      <c r="K517" s="205"/>
      <c r="L517" s="206"/>
      <c r="M517" s="205"/>
      <c r="N517" s="206"/>
    </row>
    <row r="518" spans="1:14" s="1" customFormat="1" ht="12.75">
      <c r="A518" s="112"/>
      <c r="B518" s="112"/>
      <c r="C518" s="112"/>
      <c r="D518" s="112"/>
      <c r="E518" s="205"/>
      <c r="F518" s="206"/>
      <c r="G518" s="205"/>
      <c r="H518" s="206"/>
      <c r="I518" s="205"/>
      <c r="J518" s="206"/>
      <c r="K518" s="205"/>
      <c r="L518" s="206"/>
      <c r="M518" s="205"/>
      <c r="N518" s="206"/>
    </row>
    <row r="519" spans="1:14" s="1" customFormat="1" ht="12.75">
      <c r="A519" s="112"/>
      <c r="B519" s="112"/>
      <c r="C519" s="112"/>
      <c r="D519" s="112"/>
      <c r="E519" s="205"/>
      <c r="F519" s="206"/>
      <c r="G519" s="205"/>
      <c r="H519" s="206"/>
      <c r="I519" s="205"/>
      <c r="J519" s="206"/>
      <c r="K519" s="205"/>
      <c r="L519" s="206"/>
      <c r="M519" s="205"/>
      <c r="N519" s="206"/>
    </row>
    <row r="520" spans="1:14" s="1" customFormat="1" ht="12.75">
      <c r="A520" s="112"/>
      <c r="B520" s="112"/>
      <c r="C520" s="112"/>
      <c r="D520" s="112"/>
      <c r="E520" s="205"/>
      <c r="F520" s="206"/>
      <c r="G520" s="205"/>
      <c r="H520" s="206"/>
      <c r="I520" s="205"/>
      <c r="J520" s="206"/>
      <c r="K520" s="205"/>
      <c r="L520" s="206"/>
      <c r="M520" s="205"/>
      <c r="N520" s="206"/>
    </row>
    <row r="521" spans="1:14" s="1" customFormat="1" ht="12.75">
      <c r="A521" s="112"/>
      <c r="B521" s="112"/>
      <c r="C521" s="112"/>
      <c r="D521" s="112"/>
      <c r="E521" s="205"/>
      <c r="F521" s="206"/>
      <c r="G521" s="205"/>
      <c r="H521" s="206"/>
      <c r="I521" s="205"/>
      <c r="J521" s="206"/>
      <c r="K521" s="205"/>
      <c r="L521" s="206"/>
      <c r="M521" s="205"/>
      <c r="N521" s="206"/>
    </row>
    <row r="522" spans="1:14" s="1" customFormat="1" ht="12.75">
      <c r="A522" s="112"/>
      <c r="B522" s="112"/>
      <c r="C522" s="112"/>
      <c r="D522" s="112"/>
      <c r="E522" s="205"/>
      <c r="F522" s="206"/>
      <c r="G522" s="205"/>
      <c r="H522" s="206"/>
      <c r="I522" s="205"/>
      <c r="J522" s="206"/>
      <c r="K522" s="205"/>
      <c r="L522" s="206"/>
      <c r="M522" s="205"/>
      <c r="N522" s="206"/>
    </row>
    <row r="523" spans="1:14" s="1" customFormat="1" ht="12.75">
      <c r="A523" s="112"/>
      <c r="B523" s="112"/>
      <c r="C523" s="112"/>
      <c r="D523" s="112"/>
      <c r="E523" s="205"/>
      <c r="F523" s="206"/>
      <c r="G523" s="205"/>
      <c r="H523" s="206"/>
      <c r="I523" s="205"/>
      <c r="J523" s="206"/>
      <c r="K523" s="205"/>
      <c r="L523" s="206"/>
      <c r="M523" s="205"/>
      <c r="N523" s="206"/>
    </row>
    <row r="524" spans="1:14" s="1" customFormat="1" ht="12.75">
      <c r="A524" s="112"/>
      <c r="B524" s="112"/>
      <c r="C524" s="112"/>
      <c r="D524" s="112"/>
      <c r="E524" s="205"/>
      <c r="F524" s="206"/>
      <c r="G524" s="205"/>
      <c r="H524" s="206"/>
      <c r="I524" s="205"/>
      <c r="J524" s="206"/>
      <c r="K524" s="205"/>
      <c r="L524" s="206"/>
      <c r="M524" s="205"/>
      <c r="N524" s="206"/>
    </row>
    <row r="525" spans="1:14" s="1" customFormat="1" ht="12.75">
      <c r="A525" s="112"/>
      <c r="B525" s="112"/>
      <c r="C525" s="112"/>
      <c r="D525" s="112"/>
      <c r="E525" s="205"/>
      <c r="F525" s="206"/>
      <c r="G525" s="205"/>
      <c r="H525" s="206"/>
      <c r="I525" s="205"/>
      <c r="J525" s="206"/>
      <c r="K525" s="205"/>
      <c r="L525" s="206"/>
      <c r="M525" s="205"/>
      <c r="N525" s="206"/>
    </row>
    <row r="526" spans="1:14" s="1" customFormat="1" ht="12.75">
      <c r="A526" s="112"/>
      <c r="B526" s="112"/>
      <c r="C526" s="112"/>
      <c r="D526" s="112"/>
      <c r="E526" s="205"/>
      <c r="F526" s="206"/>
      <c r="G526" s="205"/>
      <c r="H526" s="206"/>
      <c r="I526" s="205"/>
      <c r="J526" s="206"/>
      <c r="K526" s="205"/>
      <c r="L526" s="206"/>
      <c r="M526" s="205"/>
      <c r="N526" s="206"/>
    </row>
    <row r="527" spans="1:14" s="1" customFormat="1" ht="12.75">
      <c r="A527" s="112"/>
      <c r="B527" s="112"/>
      <c r="C527" s="112"/>
      <c r="D527" s="112"/>
      <c r="E527" s="205"/>
      <c r="F527" s="206"/>
      <c r="G527" s="205"/>
      <c r="H527" s="206"/>
      <c r="I527" s="205"/>
      <c r="J527" s="206"/>
      <c r="K527" s="205"/>
      <c r="L527" s="206"/>
      <c r="M527" s="205"/>
      <c r="N527" s="206"/>
    </row>
    <row r="528" spans="1:14" s="1" customFormat="1" ht="12.75">
      <c r="A528" s="112"/>
      <c r="B528" s="112"/>
      <c r="C528" s="112"/>
      <c r="D528" s="112"/>
      <c r="E528" s="205"/>
      <c r="F528" s="206"/>
      <c r="G528" s="205"/>
      <c r="H528" s="206"/>
      <c r="I528" s="205"/>
      <c r="J528" s="206"/>
      <c r="K528" s="205"/>
      <c r="L528" s="206"/>
      <c r="M528" s="205"/>
      <c r="N528" s="206"/>
    </row>
    <row r="529" spans="1:14" s="1" customFormat="1" ht="12.75">
      <c r="A529" s="112"/>
      <c r="B529" s="112"/>
      <c r="C529" s="112"/>
      <c r="D529" s="112"/>
      <c r="E529" s="205"/>
      <c r="F529" s="206"/>
      <c r="G529" s="205"/>
      <c r="H529" s="206"/>
      <c r="I529" s="205"/>
      <c r="J529" s="206"/>
      <c r="K529" s="205"/>
      <c r="L529" s="206"/>
      <c r="M529" s="205"/>
      <c r="N529" s="206"/>
    </row>
    <row r="530" spans="1:14" s="1" customFormat="1" ht="12.75">
      <c r="A530" s="112"/>
      <c r="B530" s="112"/>
      <c r="C530" s="112"/>
      <c r="D530" s="112"/>
      <c r="E530" s="205"/>
      <c r="F530" s="206"/>
      <c r="G530" s="205"/>
      <c r="H530" s="206"/>
      <c r="I530" s="205"/>
      <c r="J530" s="206"/>
      <c r="K530" s="205"/>
      <c r="L530" s="206"/>
      <c r="M530" s="205"/>
      <c r="N530" s="206"/>
    </row>
    <row r="531" spans="1:14" s="1" customFormat="1" ht="12.75">
      <c r="A531" s="112"/>
      <c r="B531" s="112"/>
      <c r="C531" s="112"/>
      <c r="D531" s="112"/>
      <c r="E531" s="205"/>
      <c r="F531" s="206"/>
      <c r="G531" s="205"/>
      <c r="H531" s="206"/>
      <c r="I531" s="205"/>
      <c r="J531" s="206"/>
      <c r="K531" s="205"/>
      <c r="L531" s="206"/>
      <c r="M531" s="205"/>
      <c r="N531" s="206"/>
    </row>
    <row r="532" spans="1:14" s="1" customFormat="1" ht="12.75">
      <c r="A532" s="112"/>
      <c r="B532" s="112"/>
      <c r="C532" s="112"/>
      <c r="D532" s="112"/>
      <c r="E532" s="205"/>
      <c r="F532" s="206"/>
      <c r="G532" s="205"/>
      <c r="H532" s="206"/>
      <c r="I532" s="205"/>
      <c r="J532" s="206"/>
      <c r="K532" s="205"/>
      <c r="L532" s="206"/>
      <c r="M532" s="205"/>
      <c r="N532" s="206"/>
    </row>
    <row r="533" spans="1:14" s="1" customFormat="1" ht="12.75">
      <c r="A533" s="112"/>
      <c r="B533" s="112"/>
      <c r="C533" s="112"/>
      <c r="D533" s="112"/>
      <c r="E533" s="205"/>
      <c r="F533" s="206"/>
      <c r="G533" s="205"/>
      <c r="H533" s="206"/>
      <c r="I533" s="205"/>
      <c r="J533" s="206"/>
      <c r="K533" s="205"/>
      <c r="L533" s="206"/>
      <c r="M533" s="205"/>
      <c r="N533" s="206"/>
    </row>
    <row r="534" spans="1:14" s="1" customFormat="1" ht="12.75">
      <c r="A534" s="112"/>
      <c r="B534" s="112"/>
      <c r="C534" s="112"/>
      <c r="D534" s="112"/>
      <c r="E534" s="205"/>
      <c r="F534" s="206"/>
      <c r="G534" s="205"/>
      <c r="H534" s="206"/>
      <c r="I534" s="205"/>
      <c r="J534" s="206"/>
      <c r="K534" s="205"/>
      <c r="L534" s="206"/>
      <c r="M534" s="205"/>
      <c r="N534" s="206"/>
    </row>
    <row r="535" spans="1:14" s="1" customFormat="1" ht="12.75">
      <c r="A535" s="112"/>
      <c r="B535" s="112"/>
      <c r="C535" s="112"/>
      <c r="D535" s="112"/>
      <c r="E535" s="205"/>
      <c r="F535" s="206"/>
      <c r="G535" s="205"/>
      <c r="H535" s="206"/>
      <c r="I535" s="205"/>
      <c r="J535" s="206"/>
      <c r="K535" s="205"/>
      <c r="L535" s="206"/>
      <c r="M535" s="205"/>
      <c r="N535" s="206"/>
    </row>
    <row r="536" spans="1:14" s="1" customFormat="1" ht="12.75">
      <c r="A536" s="112"/>
      <c r="B536" s="112"/>
      <c r="C536" s="112"/>
      <c r="D536" s="112"/>
      <c r="E536" s="205"/>
      <c r="F536" s="206"/>
      <c r="G536" s="205"/>
      <c r="H536" s="206"/>
      <c r="I536" s="205"/>
      <c r="J536" s="206"/>
      <c r="K536" s="205"/>
      <c r="L536" s="206"/>
      <c r="M536" s="205"/>
      <c r="N536" s="206"/>
    </row>
    <row r="537" spans="1:14" s="1" customFormat="1" ht="12.75">
      <c r="A537" s="112"/>
      <c r="B537" s="112"/>
      <c r="C537" s="112"/>
      <c r="D537" s="112"/>
      <c r="E537" s="205"/>
      <c r="F537" s="206"/>
      <c r="G537" s="205"/>
      <c r="H537" s="206"/>
      <c r="I537" s="205"/>
      <c r="J537" s="206"/>
      <c r="K537" s="205"/>
      <c r="L537" s="206"/>
      <c r="M537" s="205"/>
      <c r="N537" s="206"/>
    </row>
    <row r="538" spans="1:14" s="1" customFormat="1" ht="12.75">
      <c r="A538" s="112"/>
      <c r="B538" s="112"/>
      <c r="C538" s="112"/>
      <c r="D538" s="112"/>
      <c r="E538" s="205"/>
      <c r="F538" s="206"/>
      <c r="G538" s="205"/>
      <c r="H538" s="206"/>
      <c r="I538" s="205"/>
      <c r="J538" s="206"/>
      <c r="K538" s="205"/>
      <c r="L538" s="206"/>
      <c r="M538" s="205"/>
      <c r="N538" s="206"/>
    </row>
    <row r="539" spans="1:14" s="1" customFormat="1" ht="12.75">
      <c r="A539" s="112"/>
      <c r="B539" s="112"/>
      <c r="C539" s="112"/>
      <c r="D539" s="112"/>
      <c r="E539" s="205"/>
      <c r="F539" s="206"/>
      <c r="G539" s="205"/>
      <c r="H539" s="206"/>
      <c r="I539" s="205"/>
      <c r="J539" s="206"/>
      <c r="K539" s="205"/>
      <c r="L539" s="206"/>
      <c r="M539" s="205"/>
      <c r="N539" s="206"/>
    </row>
    <row r="540" spans="1:14" s="1" customFormat="1" ht="12.75">
      <c r="A540" s="112"/>
      <c r="B540" s="112"/>
      <c r="C540" s="112"/>
      <c r="D540" s="112"/>
      <c r="E540" s="205"/>
      <c r="F540" s="206"/>
      <c r="G540" s="205"/>
      <c r="H540" s="206"/>
      <c r="I540" s="205"/>
      <c r="J540" s="206"/>
      <c r="K540" s="205"/>
      <c r="L540" s="206"/>
      <c r="M540" s="205"/>
      <c r="N540" s="206"/>
    </row>
    <row r="541" spans="1:14" s="1" customFormat="1" ht="12.75">
      <c r="A541" s="112"/>
      <c r="B541" s="112"/>
      <c r="C541" s="112"/>
      <c r="D541" s="112"/>
      <c r="E541" s="205"/>
      <c r="F541" s="206"/>
      <c r="G541" s="205"/>
      <c r="H541" s="206"/>
      <c r="I541" s="205"/>
      <c r="J541" s="206"/>
      <c r="K541" s="205"/>
      <c r="L541" s="206"/>
      <c r="M541" s="205"/>
      <c r="N541" s="206"/>
    </row>
    <row r="542" spans="1:14" s="1" customFormat="1" ht="12.75">
      <c r="A542" s="112"/>
      <c r="B542" s="112"/>
      <c r="C542" s="112"/>
      <c r="D542" s="112"/>
      <c r="E542" s="205"/>
      <c r="F542" s="206"/>
      <c r="G542" s="205"/>
      <c r="H542" s="206"/>
      <c r="I542" s="205"/>
      <c r="J542" s="206"/>
      <c r="K542" s="205"/>
      <c r="L542" s="206"/>
      <c r="M542" s="205"/>
      <c r="N542" s="206"/>
    </row>
    <row r="543" spans="1:14" s="1" customFormat="1" ht="12.75">
      <c r="A543" s="112"/>
      <c r="B543" s="112"/>
      <c r="C543" s="112"/>
      <c r="D543" s="112"/>
      <c r="E543" s="205"/>
      <c r="F543" s="206"/>
      <c r="G543" s="205"/>
      <c r="H543" s="206"/>
      <c r="I543" s="205"/>
      <c r="J543" s="206"/>
      <c r="K543" s="205"/>
      <c r="L543" s="206"/>
      <c r="M543" s="205"/>
      <c r="N543" s="206"/>
    </row>
    <row r="544" spans="1:14" s="1" customFormat="1" ht="12.75">
      <c r="A544" s="112"/>
      <c r="B544" s="112"/>
      <c r="C544" s="112"/>
      <c r="D544" s="112"/>
      <c r="E544" s="205"/>
      <c r="F544" s="206"/>
      <c r="G544" s="205"/>
      <c r="H544" s="206"/>
      <c r="I544" s="205"/>
      <c r="J544" s="206"/>
      <c r="K544" s="205"/>
      <c r="L544" s="206"/>
      <c r="M544" s="205"/>
      <c r="N544" s="206"/>
    </row>
    <row r="545" spans="1:14" s="1" customFormat="1" ht="12.75">
      <c r="A545" s="112"/>
      <c r="B545" s="112"/>
      <c r="C545" s="112"/>
      <c r="D545" s="112"/>
      <c r="E545" s="205"/>
      <c r="F545" s="206"/>
      <c r="G545" s="205"/>
      <c r="H545" s="206"/>
      <c r="I545" s="205"/>
      <c r="J545" s="206"/>
      <c r="K545" s="205"/>
      <c r="L545" s="206"/>
      <c r="M545" s="205"/>
      <c r="N545" s="206"/>
    </row>
    <row r="546" spans="1:14" s="1" customFormat="1" ht="12.75">
      <c r="A546" s="112"/>
      <c r="B546" s="112"/>
      <c r="C546" s="112"/>
      <c r="D546" s="112"/>
      <c r="E546" s="205"/>
      <c r="F546" s="206"/>
      <c r="G546" s="205"/>
      <c r="H546" s="206"/>
      <c r="I546" s="205"/>
      <c r="J546" s="206"/>
      <c r="K546" s="205"/>
      <c r="L546" s="206"/>
      <c r="M546" s="205"/>
      <c r="N546" s="206"/>
    </row>
    <row r="547" spans="1:14" s="1" customFormat="1" ht="12.75">
      <c r="A547" s="112"/>
      <c r="B547" s="112"/>
      <c r="C547" s="112"/>
      <c r="D547" s="112"/>
      <c r="E547" s="205"/>
      <c r="F547" s="206"/>
      <c r="G547" s="205"/>
      <c r="H547" s="206"/>
      <c r="I547" s="205"/>
      <c r="J547" s="206"/>
      <c r="K547" s="205"/>
      <c r="L547" s="206"/>
      <c r="M547" s="205"/>
      <c r="N547" s="206"/>
    </row>
    <row r="548" spans="1:14" s="1" customFormat="1" ht="12.75">
      <c r="A548" s="112"/>
      <c r="B548" s="112"/>
      <c r="C548" s="112"/>
      <c r="D548" s="112"/>
      <c r="E548" s="205"/>
      <c r="F548" s="206"/>
      <c r="G548" s="205"/>
      <c r="H548" s="206"/>
      <c r="I548" s="205"/>
      <c r="J548" s="206"/>
      <c r="K548" s="205"/>
      <c r="L548" s="206"/>
      <c r="M548" s="205"/>
      <c r="N548" s="206"/>
    </row>
    <row r="549" spans="1:14" s="1" customFormat="1" ht="12.75">
      <c r="A549" s="112"/>
      <c r="B549" s="112"/>
      <c r="C549" s="112"/>
      <c r="D549" s="112"/>
      <c r="E549" s="205"/>
      <c r="F549" s="206"/>
      <c r="G549" s="205"/>
      <c r="H549" s="206"/>
      <c r="I549" s="205"/>
      <c r="J549" s="206"/>
      <c r="K549" s="205"/>
      <c r="L549" s="206"/>
      <c r="M549" s="205"/>
      <c r="N549" s="206"/>
    </row>
    <row r="550" spans="1:14" s="1" customFormat="1" ht="12.75">
      <c r="A550" s="112"/>
      <c r="B550" s="112"/>
      <c r="C550" s="112"/>
      <c r="D550" s="112"/>
      <c r="E550" s="205"/>
      <c r="F550" s="206"/>
      <c r="G550" s="205"/>
      <c r="H550" s="206"/>
      <c r="I550" s="205"/>
      <c r="J550" s="206"/>
      <c r="K550" s="205"/>
      <c r="L550" s="206"/>
      <c r="M550" s="205"/>
      <c r="N550" s="206"/>
    </row>
    <row r="551" spans="1:14" s="1" customFormat="1" ht="12.75">
      <c r="A551" s="112"/>
      <c r="B551" s="112"/>
      <c r="C551" s="112"/>
      <c r="D551" s="112"/>
      <c r="E551" s="205"/>
      <c r="F551" s="206"/>
      <c r="G551" s="205"/>
      <c r="H551" s="206"/>
      <c r="I551" s="205"/>
      <c r="J551" s="206"/>
      <c r="K551" s="205"/>
      <c r="L551" s="206"/>
      <c r="M551" s="205"/>
      <c r="N551" s="206"/>
    </row>
    <row r="552" spans="1:14" s="1" customFormat="1" ht="12.75">
      <c r="A552" s="112"/>
      <c r="B552" s="112"/>
      <c r="C552" s="112"/>
      <c r="D552" s="112"/>
      <c r="E552" s="205"/>
      <c r="F552" s="206"/>
      <c r="G552" s="205"/>
      <c r="H552" s="206"/>
      <c r="I552" s="205"/>
      <c r="J552" s="206"/>
      <c r="K552" s="205"/>
      <c r="L552" s="206"/>
      <c r="M552" s="205"/>
      <c r="N552" s="206"/>
    </row>
    <row r="553" spans="1:14" s="1" customFormat="1" ht="12.75">
      <c r="A553" s="112"/>
      <c r="B553" s="112"/>
      <c r="C553" s="112"/>
      <c r="D553" s="112"/>
      <c r="E553" s="205"/>
      <c r="F553" s="206"/>
      <c r="G553" s="205"/>
      <c r="H553" s="206"/>
      <c r="I553" s="205"/>
      <c r="J553" s="206"/>
      <c r="K553" s="205"/>
      <c r="L553" s="206"/>
      <c r="M553" s="205"/>
      <c r="N553" s="206"/>
    </row>
    <row r="554" spans="1:14" s="1" customFormat="1" ht="12.75">
      <c r="A554" s="112"/>
      <c r="B554" s="112"/>
      <c r="C554" s="112"/>
      <c r="D554" s="112"/>
      <c r="E554" s="205"/>
      <c r="F554" s="206"/>
      <c r="G554" s="205"/>
      <c r="H554" s="206"/>
      <c r="I554" s="205"/>
      <c r="J554" s="206"/>
      <c r="K554" s="205"/>
      <c r="L554" s="206"/>
      <c r="M554" s="205"/>
      <c r="N554" s="206"/>
    </row>
    <row r="555" spans="1:14" s="1" customFormat="1" ht="12.75">
      <c r="A555" s="112"/>
      <c r="B555" s="112"/>
      <c r="C555" s="112"/>
      <c r="D555" s="112"/>
      <c r="E555" s="205"/>
      <c r="F555" s="206"/>
      <c r="G555" s="205"/>
      <c r="H555" s="206"/>
      <c r="I555" s="205"/>
      <c r="J555" s="206"/>
      <c r="K555" s="205"/>
      <c r="L555" s="206"/>
      <c r="M555" s="205"/>
      <c r="N555" s="206"/>
    </row>
    <row r="556" spans="1:14" s="1" customFormat="1" ht="12.75">
      <c r="A556" s="112"/>
      <c r="B556" s="112"/>
      <c r="C556" s="112"/>
      <c r="D556" s="112"/>
      <c r="E556" s="205"/>
      <c r="F556" s="206"/>
      <c r="G556" s="205"/>
      <c r="H556" s="206"/>
      <c r="I556" s="205"/>
      <c r="J556" s="206"/>
      <c r="K556" s="205"/>
      <c r="L556" s="206"/>
      <c r="M556" s="205"/>
      <c r="N556" s="206"/>
    </row>
    <row r="557" spans="1:14" s="1" customFormat="1" ht="12.75">
      <c r="A557" s="112"/>
      <c r="B557" s="112"/>
      <c r="C557" s="112"/>
      <c r="D557" s="112"/>
      <c r="E557" s="205"/>
      <c r="F557" s="206"/>
      <c r="G557" s="205"/>
      <c r="H557" s="206"/>
      <c r="I557" s="205"/>
      <c r="J557" s="206"/>
      <c r="K557" s="205"/>
      <c r="L557" s="206"/>
      <c r="M557" s="205"/>
      <c r="N557" s="206"/>
    </row>
    <row r="558" spans="1:14" s="1" customFormat="1" ht="12.75">
      <c r="A558" s="112"/>
      <c r="B558" s="112"/>
      <c r="C558" s="112"/>
      <c r="D558" s="112"/>
      <c r="E558" s="205"/>
      <c r="F558" s="206"/>
      <c r="G558" s="205"/>
      <c r="H558" s="206"/>
      <c r="I558" s="205"/>
      <c r="J558" s="206"/>
      <c r="K558" s="205"/>
      <c r="L558" s="206"/>
      <c r="M558" s="205"/>
      <c r="N558" s="206"/>
    </row>
    <row r="559" spans="1:14" s="1" customFormat="1" ht="12.75">
      <c r="A559" s="112"/>
      <c r="B559" s="112"/>
      <c r="C559" s="112"/>
      <c r="D559" s="112"/>
      <c r="E559" s="205"/>
      <c r="F559" s="206"/>
      <c r="G559" s="205"/>
      <c r="H559" s="206"/>
      <c r="I559" s="205"/>
      <c r="J559" s="206"/>
      <c r="K559" s="205"/>
      <c r="L559" s="206"/>
      <c r="M559" s="205"/>
      <c r="N559" s="206"/>
    </row>
    <row r="560" spans="1:14" s="1" customFormat="1" ht="12.75">
      <c r="A560" s="112"/>
      <c r="B560" s="112"/>
      <c r="C560" s="112"/>
      <c r="D560" s="112"/>
      <c r="E560" s="205"/>
      <c r="F560" s="206"/>
      <c r="G560" s="205"/>
      <c r="H560" s="206"/>
      <c r="I560" s="205"/>
      <c r="J560" s="206"/>
      <c r="K560" s="205"/>
      <c r="L560" s="206"/>
      <c r="M560" s="205"/>
      <c r="N560" s="206"/>
    </row>
    <row r="561" spans="1:14" s="1" customFormat="1" ht="12.75">
      <c r="A561" s="112"/>
      <c r="B561" s="112"/>
      <c r="C561" s="112"/>
      <c r="D561" s="112"/>
      <c r="E561" s="205"/>
      <c r="F561" s="206"/>
      <c r="G561" s="205"/>
      <c r="H561" s="206"/>
      <c r="I561" s="205"/>
      <c r="J561" s="206"/>
      <c r="K561" s="205"/>
      <c r="L561" s="206"/>
      <c r="M561" s="205"/>
      <c r="N561" s="206"/>
    </row>
    <row r="562" spans="1:14" s="1" customFormat="1" ht="12.75">
      <c r="A562" s="112"/>
      <c r="B562" s="112"/>
      <c r="C562" s="112"/>
      <c r="D562" s="112"/>
      <c r="E562" s="205"/>
      <c r="F562" s="206"/>
      <c r="G562" s="205"/>
      <c r="H562" s="206"/>
      <c r="I562" s="205"/>
      <c r="J562" s="206"/>
      <c r="K562" s="205"/>
      <c r="L562" s="206"/>
      <c r="M562" s="205"/>
      <c r="N562" s="206"/>
    </row>
    <row r="563" spans="1:14" s="1" customFormat="1" ht="12.75">
      <c r="A563" s="112"/>
      <c r="B563" s="112"/>
      <c r="C563" s="112"/>
      <c r="D563" s="112"/>
      <c r="E563" s="205"/>
      <c r="F563" s="206"/>
      <c r="G563" s="205"/>
      <c r="H563" s="206"/>
      <c r="I563" s="205"/>
      <c r="J563" s="206"/>
      <c r="K563" s="205"/>
      <c r="L563" s="206"/>
      <c r="M563" s="205"/>
      <c r="N563" s="206"/>
    </row>
    <row r="564" spans="1:14" s="1" customFormat="1" ht="12.75">
      <c r="A564" s="112"/>
      <c r="B564" s="112"/>
      <c r="C564" s="112"/>
      <c r="D564" s="112"/>
      <c r="E564" s="205"/>
      <c r="F564" s="206"/>
      <c r="G564" s="205"/>
      <c r="H564" s="206"/>
      <c r="I564" s="205"/>
      <c r="J564" s="206"/>
      <c r="K564" s="205"/>
      <c r="L564" s="206"/>
      <c r="M564" s="205"/>
      <c r="N564" s="206"/>
    </row>
    <row r="565" spans="1:14" s="1" customFormat="1" ht="12.75">
      <c r="A565" s="112"/>
      <c r="B565" s="112"/>
      <c r="C565" s="112"/>
      <c r="D565" s="112"/>
      <c r="E565" s="205"/>
      <c r="F565" s="206"/>
      <c r="G565" s="205"/>
      <c r="H565" s="206"/>
      <c r="I565" s="205"/>
      <c r="J565" s="206"/>
      <c r="K565" s="205"/>
      <c r="L565" s="206"/>
      <c r="M565" s="205"/>
      <c r="N565" s="206"/>
    </row>
    <row r="566" spans="1:14" s="1" customFormat="1" ht="12.75">
      <c r="A566" s="112"/>
      <c r="B566" s="112"/>
      <c r="C566" s="112"/>
      <c r="D566" s="112"/>
      <c r="E566" s="205"/>
      <c r="F566" s="206"/>
      <c r="G566" s="205"/>
      <c r="H566" s="206"/>
      <c r="I566" s="205"/>
      <c r="J566" s="206"/>
      <c r="K566" s="205"/>
      <c r="L566" s="206"/>
      <c r="M566" s="205"/>
      <c r="N566" s="206"/>
    </row>
    <row r="567" spans="1:14" s="1" customFormat="1" ht="12.75">
      <c r="A567" s="112"/>
      <c r="B567" s="112"/>
      <c r="C567" s="112"/>
      <c r="D567" s="112"/>
      <c r="E567" s="205"/>
      <c r="F567" s="206"/>
      <c r="G567" s="205"/>
      <c r="H567" s="206"/>
      <c r="I567" s="205"/>
      <c r="J567" s="206"/>
      <c r="K567" s="205"/>
      <c r="L567" s="206"/>
      <c r="M567" s="205"/>
      <c r="N567" s="206"/>
    </row>
    <row r="568" spans="1:14" s="1" customFormat="1" ht="12.75">
      <c r="A568" s="112"/>
      <c r="B568" s="112"/>
      <c r="C568" s="112"/>
      <c r="D568" s="112"/>
      <c r="E568" s="205"/>
      <c r="F568" s="206"/>
      <c r="G568" s="205"/>
      <c r="H568" s="206"/>
      <c r="I568" s="205"/>
      <c r="J568" s="206"/>
      <c r="K568" s="205"/>
      <c r="L568" s="206"/>
      <c r="M568" s="205"/>
      <c r="N568" s="206"/>
    </row>
    <row r="569" spans="1:14" s="1" customFormat="1" ht="12.75">
      <c r="A569" s="112"/>
      <c r="B569" s="112"/>
      <c r="C569" s="112"/>
      <c r="D569" s="112"/>
      <c r="E569" s="205"/>
      <c r="F569" s="206"/>
      <c r="G569" s="205"/>
      <c r="H569" s="206"/>
      <c r="I569" s="205"/>
      <c r="J569" s="206"/>
      <c r="K569" s="205"/>
      <c r="L569" s="206"/>
      <c r="M569" s="205"/>
      <c r="N569" s="206"/>
    </row>
    <row r="570" spans="1:14" s="1" customFormat="1" ht="12.75">
      <c r="A570" s="112"/>
      <c r="B570" s="112"/>
      <c r="C570" s="112"/>
      <c r="D570" s="112"/>
      <c r="E570" s="205"/>
      <c r="F570" s="206"/>
      <c r="G570" s="205"/>
      <c r="H570" s="206"/>
      <c r="I570" s="205"/>
      <c r="J570" s="206"/>
      <c r="K570" s="205"/>
      <c r="L570" s="206"/>
      <c r="M570" s="205"/>
      <c r="N570" s="206"/>
    </row>
    <row r="571" spans="1:14" s="1" customFormat="1" ht="12.75">
      <c r="A571" s="112"/>
      <c r="B571" s="112"/>
      <c r="C571" s="112"/>
      <c r="D571" s="112"/>
      <c r="E571" s="205"/>
      <c r="F571" s="206"/>
      <c r="G571" s="205"/>
      <c r="H571" s="206"/>
      <c r="I571" s="205"/>
      <c r="J571" s="206"/>
      <c r="K571" s="205"/>
      <c r="L571" s="206"/>
      <c r="M571" s="205"/>
      <c r="N571" s="206"/>
    </row>
    <row r="572" spans="1:14" s="1" customFormat="1" ht="12.75">
      <c r="A572" s="112"/>
      <c r="B572" s="112"/>
      <c r="C572" s="112"/>
      <c r="D572" s="112"/>
      <c r="E572" s="205"/>
      <c r="F572" s="206"/>
      <c r="G572" s="205"/>
      <c r="H572" s="206"/>
      <c r="I572" s="205"/>
      <c r="J572" s="206"/>
      <c r="K572" s="205"/>
      <c r="L572" s="206"/>
      <c r="M572" s="205"/>
      <c r="N572" s="206"/>
    </row>
    <row r="573" spans="1:14" s="1" customFormat="1" ht="12.75">
      <c r="A573" s="112"/>
      <c r="B573" s="112"/>
      <c r="C573" s="112"/>
      <c r="D573" s="112"/>
      <c r="E573" s="205"/>
      <c r="F573" s="206"/>
      <c r="G573" s="205"/>
      <c r="H573" s="206"/>
      <c r="I573" s="205"/>
      <c r="J573" s="206"/>
      <c r="K573" s="205"/>
      <c r="L573" s="206"/>
      <c r="M573" s="205"/>
      <c r="N573" s="206"/>
    </row>
    <row r="574" spans="1:14" s="1" customFormat="1" ht="12.75">
      <c r="A574" s="112"/>
      <c r="B574" s="112"/>
      <c r="C574" s="112"/>
      <c r="D574" s="112"/>
      <c r="E574" s="205"/>
      <c r="F574" s="206"/>
      <c r="G574" s="205"/>
      <c r="H574" s="206"/>
      <c r="I574" s="205"/>
      <c r="J574" s="206"/>
      <c r="K574" s="205"/>
      <c r="L574" s="206"/>
      <c r="M574" s="205"/>
      <c r="N574" s="206"/>
    </row>
    <row r="575" spans="1:14" s="1" customFormat="1" ht="12.75">
      <c r="A575" s="112"/>
      <c r="B575" s="112"/>
      <c r="C575" s="112"/>
      <c r="D575" s="112"/>
      <c r="E575" s="205"/>
      <c r="F575" s="206"/>
      <c r="G575" s="205"/>
      <c r="H575" s="206"/>
      <c r="I575" s="205"/>
      <c r="J575" s="206"/>
      <c r="K575" s="205"/>
      <c r="L575" s="206"/>
      <c r="M575" s="205"/>
      <c r="N575" s="206"/>
    </row>
    <row r="576" spans="1:14" s="1" customFormat="1" ht="12.75">
      <c r="A576" s="112"/>
      <c r="B576" s="112"/>
      <c r="C576" s="112"/>
      <c r="D576" s="112"/>
      <c r="E576" s="205"/>
      <c r="F576" s="206"/>
      <c r="G576" s="205"/>
      <c r="H576" s="206"/>
      <c r="I576" s="205"/>
      <c r="J576" s="206"/>
      <c r="K576" s="205"/>
      <c r="L576" s="206"/>
      <c r="M576" s="205"/>
      <c r="N576" s="206"/>
    </row>
    <row r="577" spans="1:14" s="1" customFormat="1" ht="12.75">
      <c r="A577" s="112"/>
      <c r="B577" s="112"/>
      <c r="C577" s="112"/>
      <c r="D577" s="112"/>
      <c r="E577" s="205"/>
      <c r="F577" s="206"/>
      <c r="G577" s="205"/>
      <c r="H577" s="206"/>
      <c r="I577" s="205"/>
      <c r="J577" s="206"/>
      <c r="K577" s="205"/>
      <c r="L577" s="206"/>
      <c r="M577" s="205"/>
      <c r="N577" s="206"/>
    </row>
    <row r="578" spans="1:14" s="1" customFormat="1" ht="12.75">
      <c r="A578" s="112"/>
      <c r="B578" s="112"/>
      <c r="C578" s="112"/>
      <c r="D578" s="112"/>
      <c r="E578" s="205"/>
      <c r="F578" s="206"/>
      <c r="G578" s="205"/>
      <c r="H578" s="206"/>
      <c r="I578" s="205"/>
      <c r="J578" s="206"/>
      <c r="K578" s="205"/>
      <c r="L578" s="206"/>
      <c r="M578" s="205"/>
      <c r="N578" s="206"/>
    </row>
    <row r="579" spans="1:14" s="1" customFormat="1" ht="12.75">
      <c r="A579" s="112"/>
      <c r="B579" s="112"/>
      <c r="C579" s="112"/>
      <c r="D579" s="112"/>
      <c r="E579" s="205"/>
      <c r="F579" s="206"/>
      <c r="G579" s="205"/>
      <c r="H579" s="206"/>
      <c r="I579" s="205"/>
      <c r="J579" s="206"/>
      <c r="K579" s="205"/>
      <c r="L579" s="206"/>
      <c r="M579" s="205"/>
      <c r="N579" s="206"/>
    </row>
    <row r="580" spans="1:14" s="1" customFormat="1" ht="12.75">
      <c r="A580" s="112"/>
      <c r="B580" s="112"/>
      <c r="C580" s="112"/>
      <c r="D580" s="112"/>
      <c r="E580" s="205"/>
      <c r="F580" s="206"/>
      <c r="G580" s="205"/>
      <c r="H580" s="206"/>
      <c r="I580" s="205"/>
      <c r="J580" s="206"/>
      <c r="K580" s="205"/>
      <c r="L580" s="206"/>
      <c r="M580" s="205"/>
      <c r="N580" s="206"/>
    </row>
    <row r="581" spans="1:14" s="1" customFormat="1" ht="12.75">
      <c r="A581" s="112"/>
      <c r="B581" s="112"/>
      <c r="C581" s="112"/>
      <c r="D581" s="112"/>
      <c r="E581" s="205"/>
      <c r="F581" s="206"/>
      <c r="G581" s="205"/>
      <c r="H581" s="206"/>
      <c r="I581" s="205"/>
      <c r="J581" s="206"/>
      <c r="K581" s="205"/>
      <c r="L581" s="206"/>
      <c r="M581" s="205"/>
      <c r="N581" s="206"/>
    </row>
    <row r="582" spans="1:14" s="1" customFormat="1" ht="12.75">
      <c r="A582" s="112"/>
      <c r="B582" s="112"/>
      <c r="C582" s="112"/>
      <c r="D582" s="112"/>
      <c r="E582" s="205"/>
      <c r="F582" s="206"/>
      <c r="G582" s="205"/>
      <c r="H582" s="206"/>
      <c r="I582" s="205"/>
      <c r="J582" s="206"/>
      <c r="K582" s="205"/>
      <c r="L582" s="206"/>
      <c r="M582" s="205"/>
      <c r="N582" s="206"/>
    </row>
    <row r="583" spans="1:14" s="1" customFormat="1" ht="12.75">
      <c r="A583" s="112"/>
      <c r="B583" s="112"/>
      <c r="C583" s="112"/>
      <c r="D583" s="112"/>
      <c r="E583" s="205"/>
      <c r="F583" s="206"/>
      <c r="G583" s="205"/>
      <c r="H583" s="206"/>
      <c r="I583" s="205"/>
      <c r="J583" s="206"/>
      <c r="K583" s="205"/>
      <c r="L583" s="206"/>
      <c r="M583" s="205"/>
      <c r="N583" s="206"/>
    </row>
    <row r="584" spans="1:14" s="1" customFormat="1" ht="12.75">
      <c r="A584" s="112"/>
      <c r="B584" s="112"/>
      <c r="C584" s="112"/>
      <c r="D584" s="112"/>
      <c r="E584" s="205"/>
      <c r="F584" s="206"/>
      <c r="G584" s="205"/>
      <c r="H584" s="206"/>
      <c r="I584" s="205"/>
      <c r="J584" s="206"/>
      <c r="K584" s="205"/>
      <c r="L584" s="206"/>
      <c r="M584" s="205"/>
      <c r="N584" s="206"/>
    </row>
    <row r="585" spans="1:14" s="1" customFormat="1" ht="12.75">
      <c r="A585" s="112"/>
      <c r="B585" s="112"/>
      <c r="C585" s="112"/>
      <c r="D585" s="112"/>
      <c r="E585" s="205"/>
      <c r="F585" s="206"/>
      <c r="G585" s="205"/>
      <c r="H585" s="206"/>
      <c r="I585" s="205"/>
      <c r="J585" s="206"/>
      <c r="K585" s="205"/>
      <c r="L585" s="206"/>
      <c r="M585" s="205"/>
      <c r="N585" s="206"/>
    </row>
    <row r="586" spans="1:14" s="1" customFormat="1" ht="12.75">
      <c r="A586" s="112"/>
      <c r="B586" s="112"/>
      <c r="C586" s="112"/>
      <c r="D586" s="112"/>
      <c r="E586" s="205"/>
      <c r="F586" s="206"/>
      <c r="G586" s="205"/>
      <c r="H586" s="206"/>
      <c r="I586" s="205"/>
      <c r="J586" s="206"/>
      <c r="K586" s="205"/>
      <c r="L586" s="206"/>
      <c r="M586" s="205"/>
      <c r="N586" s="206"/>
    </row>
    <row r="587" spans="1:14" s="1" customFormat="1" ht="12.75">
      <c r="A587" s="112"/>
      <c r="B587" s="112"/>
      <c r="C587" s="112"/>
      <c r="D587" s="112"/>
      <c r="E587" s="205"/>
      <c r="F587" s="206"/>
      <c r="G587" s="205"/>
      <c r="H587" s="206"/>
      <c r="I587" s="205"/>
      <c r="J587" s="206"/>
      <c r="K587" s="205"/>
      <c r="L587" s="206"/>
      <c r="M587" s="205"/>
      <c r="N587" s="206"/>
    </row>
    <row r="588" spans="1:14" s="1" customFormat="1" ht="12.75">
      <c r="A588" s="112"/>
      <c r="B588" s="112"/>
      <c r="C588" s="112"/>
      <c r="D588" s="112"/>
      <c r="E588" s="205"/>
      <c r="F588" s="206"/>
      <c r="G588" s="205"/>
      <c r="H588" s="206"/>
      <c r="I588" s="205"/>
      <c r="J588" s="206"/>
      <c r="K588" s="205"/>
      <c r="L588" s="206"/>
      <c r="M588" s="205"/>
      <c r="N588" s="206"/>
    </row>
    <row r="589" spans="1:14" s="1" customFormat="1" ht="12.75">
      <c r="A589" s="112"/>
      <c r="B589" s="112"/>
      <c r="C589" s="112"/>
      <c r="D589" s="112"/>
      <c r="E589" s="205"/>
      <c r="F589" s="206"/>
      <c r="G589" s="205"/>
      <c r="H589" s="206"/>
      <c r="I589" s="205"/>
      <c r="J589" s="206"/>
      <c r="K589" s="205"/>
      <c r="L589" s="206"/>
      <c r="M589" s="205"/>
      <c r="N589" s="206"/>
    </row>
    <row r="590" spans="1:14" s="1" customFormat="1" ht="12.75">
      <c r="A590" s="112"/>
      <c r="B590" s="112"/>
      <c r="C590" s="112"/>
      <c r="D590" s="112"/>
      <c r="E590" s="205"/>
      <c r="F590" s="206"/>
      <c r="G590" s="205"/>
      <c r="H590" s="206"/>
      <c r="I590" s="205"/>
      <c r="J590" s="206"/>
      <c r="K590" s="205"/>
      <c r="L590" s="206"/>
      <c r="M590" s="205"/>
      <c r="N590" s="206"/>
    </row>
    <row r="591" spans="1:14" s="1" customFormat="1" ht="12.75">
      <c r="A591" s="112"/>
      <c r="B591" s="112"/>
      <c r="C591" s="112"/>
      <c r="D591" s="112"/>
      <c r="E591" s="205"/>
      <c r="F591" s="206"/>
      <c r="G591" s="205"/>
      <c r="H591" s="206"/>
      <c r="I591" s="205"/>
      <c r="J591" s="206"/>
      <c r="K591" s="205"/>
      <c r="L591" s="206"/>
      <c r="M591" s="205"/>
      <c r="N591" s="206"/>
    </row>
    <row r="592" spans="1:14" s="1" customFormat="1" ht="12.75">
      <c r="A592" s="112"/>
      <c r="B592" s="112"/>
      <c r="C592" s="112"/>
      <c r="D592" s="112"/>
      <c r="E592" s="205"/>
      <c r="F592" s="206"/>
      <c r="G592" s="205"/>
      <c r="H592" s="206"/>
      <c r="I592" s="205"/>
      <c r="J592" s="206"/>
      <c r="K592" s="205"/>
      <c r="L592" s="206"/>
      <c r="M592" s="205"/>
      <c r="N592" s="206"/>
    </row>
    <row r="593" spans="1:14" s="1" customFormat="1" ht="12.75">
      <c r="A593" s="112"/>
      <c r="B593" s="112"/>
      <c r="C593" s="112"/>
      <c r="D593" s="112"/>
      <c r="E593" s="205"/>
      <c r="F593" s="206"/>
      <c r="G593" s="205"/>
      <c r="H593" s="206"/>
      <c r="I593" s="205"/>
      <c r="J593" s="206"/>
      <c r="K593" s="205"/>
      <c r="L593" s="206"/>
      <c r="M593" s="205"/>
      <c r="N593" s="206"/>
    </row>
    <row r="594" spans="1:14" s="1" customFormat="1" ht="12.75">
      <c r="A594" s="112"/>
      <c r="B594" s="112"/>
      <c r="C594" s="112"/>
      <c r="D594" s="112"/>
      <c r="E594" s="205"/>
      <c r="F594" s="206"/>
      <c r="G594" s="205"/>
      <c r="H594" s="206"/>
      <c r="I594" s="205"/>
      <c r="J594" s="206"/>
      <c r="K594" s="205"/>
      <c r="L594" s="206"/>
      <c r="M594" s="205"/>
      <c r="N594" s="206"/>
    </row>
    <row r="595" spans="1:14" s="1" customFormat="1" ht="12.75">
      <c r="A595" s="112"/>
      <c r="B595" s="112"/>
      <c r="C595" s="112"/>
      <c r="D595" s="112"/>
      <c r="E595" s="205"/>
      <c r="F595" s="206"/>
      <c r="G595" s="205"/>
      <c r="H595" s="206"/>
      <c r="I595" s="205"/>
      <c r="J595" s="206"/>
      <c r="K595" s="205"/>
      <c r="L595" s="206"/>
      <c r="M595" s="205"/>
      <c r="N595" s="206"/>
    </row>
    <row r="596" spans="1:14" s="1" customFormat="1" ht="12.75">
      <c r="A596" s="112"/>
      <c r="B596" s="112"/>
      <c r="C596" s="112"/>
      <c r="D596" s="112"/>
      <c r="E596" s="205"/>
      <c r="F596" s="206"/>
      <c r="G596" s="205"/>
      <c r="H596" s="206"/>
      <c r="I596" s="205"/>
      <c r="J596" s="206"/>
      <c r="K596" s="205"/>
      <c r="L596" s="206"/>
      <c r="M596" s="205"/>
      <c r="N596" s="206"/>
    </row>
    <row r="597" spans="1:14" s="1" customFormat="1" ht="12.75">
      <c r="A597" s="112"/>
      <c r="B597" s="112"/>
      <c r="C597" s="112"/>
      <c r="D597" s="112"/>
      <c r="E597" s="205"/>
      <c r="F597" s="206"/>
      <c r="G597" s="205"/>
      <c r="H597" s="206"/>
      <c r="I597" s="205"/>
      <c r="J597" s="206"/>
      <c r="K597" s="205"/>
      <c r="L597" s="206"/>
      <c r="M597" s="205"/>
      <c r="N597" s="206"/>
    </row>
    <row r="598" spans="1:14" s="1" customFormat="1" ht="12.75">
      <c r="A598" s="112"/>
      <c r="B598" s="112"/>
      <c r="C598" s="112"/>
      <c r="D598" s="112"/>
      <c r="E598" s="205"/>
      <c r="F598" s="206"/>
      <c r="G598" s="205"/>
      <c r="H598" s="206"/>
      <c r="I598" s="205"/>
      <c r="J598" s="206"/>
      <c r="K598" s="205"/>
      <c r="L598" s="206"/>
      <c r="M598" s="205"/>
      <c r="N598" s="206"/>
    </row>
    <row r="599" spans="1:14" s="1" customFormat="1" ht="12.75">
      <c r="A599" s="112"/>
      <c r="B599" s="112"/>
      <c r="C599" s="112"/>
      <c r="D599" s="112"/>
      <c r="E599" s="205"/>
      <c r="F599" s="206"/>
      <c r="G599" s="205"/>
      <c r="H599" s="206"/>
      <c r="I599" s="205"/>
      <c r="J599" s="206"/>
      <c r="K599" s="205"/>
      <c r="L599" s="206"/>
      <c r="M599" s="205"/>
      <c r="N599" s="206"/>
    </row>
    <row r="600" spans="1:14" s="1" customFormat="1" ht="12.75">
      <c r="A600" s="112"/>
      <c r="B600" s="112"/>
      <c r="C600" s="112"/>
      <c r="D600" s="112"/>
      <c r="E600" s="205"/>
      <c r="F600" s="206"/>
      <c r="G600" s="205"/>
      <c r="H600" s="206"/>
      <c r="I600" s="205"/>
      <c r="J600" s="206"/>
      <c r="K600" s="205"/>
      <c r="L600" s="206"/>
      <c r="M600" s="205"/>
      <c r="N600" s="206"/>
    </row>
    <row r="601" spans="1:14" s="1" customFormat="1" ht="12.75">
      <c r="A601" s="112"/>
      <c r="B601" s="112"/>
      <c r="C601" s="112"/>
      <c r="D601" s="112"/>
      <c r="E601" s="205"/>
      <c r="F601" s="206"/>
      <c r="G601" s="205"/>
      <c r="H601" s="206"/>
      <c r="I601" s="205"/>
      <c r="J601" s="206"/>
      <c r="K601" s="205"/>
      <c r="L601" s="206"/>
      <c r="M601" s="205"/>
      <c r="N601" s="206"/>
    </row>
    <row r="602" spans="1:14" s="1" customFormat="1" ht="12.75">
      <c r="A602" s="112"/>
      <c r="B602" s="112"/>
      <c r="C602" s="112"/>
      <c r="D602" s="112"/>
      <c r="E602" s="205"/>
      <c r="F602" s="206"/>
      <c r="G602" s="205"/>
      <c r="H602" s="206"/>
      <c r="I602" s="205"/>
      <c r="J602" s="206"/>
      <c r="K602" s="205"/>
      <c r="L602" s="206"/>
      <c r="M602" s="205"/>
      <c r="N602" s="206"/>
    </row>
    <row r="603" spans="1:14" s="1" customFormat="1" ht="12.75">
      <c r="A603" s="112"/>
      <c r="B603" s="112"/>
      <c r="C603" s="112"/>
      <c r="D603" s="112"/>
      <c r="E603" s="205"/>
      <c r="F603" s="206"/>
      <c r="G603" s="205"/>
      <c r="H603" s="206"/>
      <c r="I603" s="205"/>
      <c r="J603" s="206"/>
      <c r="K603" s="205"/>
      <c r="L603" s="206"/>
      <c r="M603" s="205"/>
      <c r="N603" s="206"/>
    </row>
    <row r="604" spans="1:14" s="1" customFormat="1" ht="12.75">
      <c r="A604" s="112"/>
      <c r="B604" s="112"/>
      <c r="C604" s="112"/>
      <c r="D604" s="112"/>
      <c r="E604" s="205"/>
      <c r="F604" s="206"/>
      <c r="G604" s="205"/>
      <c r="H604" s="206"/>
      <c r="I604" s="205"/>
      <c r="J604" s="206"/>
      <c r="K604" s="205"/>
      <c r="L604" s="206"/>
      <c r="M604" s="205"/>
      <c r="N604" s="206"/>
    </row>
    <row r="605" spans="1:14" s="1" customFormat="1" ht="12.75">
      <c r="A605" s="112"/>
      <c r="B605" s="112"/>
      <c r="C605" s="112"/>
      <c r="D605" s="112"/>
      <c r="E605" s="205"/>
      <c r="F605" s="206"/>
      <c r="G605" s="205"/>
      <c r="H605" s="206"/>
      <c r="I605" s="205"/>
      <c r="J605" s="206"/>
      <c r="K605" s="205"/>
      <c r="L605" s="206"/>
      <c r="M605" s="205"/>
      <c r="N605" s="206"/>
    </row>
    <row r="606" spans="1:14" s="1" customFormat="1" ht="12.75">
      <c r="A606" s="112"/>
      <c r="B606" s="112"/>
      <c r="C606" s="112"/>
      <c r="D606" s="112"/>
      <c r="E606" s="205"/>
      <c r="F606" s="206"/>
      <c r="G606" s="205"/>
      <c r="H606" s="206"/>
      <c r="I606" s="205"/>
      <c r="J606" s="206"/>
      <c r="K606" s="205"/>
      <c r="L606" s="206"/>
      <c r="M606" s="205"/>
      <c r="N606" s="206"/>
    </row>
    <row r="607" spans="1:14" s="1" customFormat="1" ht="12.75">
      <c r="A607" s="112"/>
      <c r="B607" s="112"/>
      <c r="C607" s="112"/>
      <c r="D607" s="112"/>
      <c r="E607" s="205"/>
      <c r="F607" s="206"/>
      <c r="G607" s="205"/>
      <c r="H607" s="206"/>
      <c r="I607" s="205"/>
      <c r="J607" s="206"/>
      <c r="K607" s="205"/>
      <c r="L607" s="206"/>
      <c r="M607" s="205"/>
      <c r="N607" s="206"/>
    </row>
  </sheetData>
  <sheetProtection password="C857" sheet="1" objects="1" scenarios="1"/>
  <mergeCells count="80">
    <mergeCell ref="C70:D70"/>
    <mergeCell ref="C74:D74"/>
    <mergeCell ref="C25:D25"/>
    <mergeCell ref="C26:D26"/>
    <mergeCell ref="C27:D27"/>
    <mergeCell ref="C32:D32"/>
    <mergeCell ref="C33:D33"/>
    <mergeCell ref="C34:D34"/>
    <mergeCell ref="C28:D28"/>
    <mergeCell ref="C29:D29"/>
    <mergeCell ref="C30:D30"/>
    <mergeCell ref="C31:D31"/>
    <mergeCell ref="C62:D62"/>
    <mergeCell ref="C63:D63"/>
    <mergeCell ref="C67:D67"/>
    <mergeCell ref="C68:D68"/>
    <mergeCell ref="C69:D69"/>
    <mergeCell ref="C54:D54"/>
    <mergeCell ref="C55:D55"/>
    <mergeCell ref="C56:D56"/>
    <mergeCell ref="C60:D60"/>
    <mergeCell ref="C61:D61"/>
    <mergeCell ref="C1:N1"/>
    <mergeCell ref="C52:D52"/>
    <mergeCell ref="C53:D53"/>
    <mergeCell ref="C12:D12"/>
    <mergeCell ref="C13:D13"/>
    <mergeCell ref="C14:D14"/>
    <mergeCell ref="C15:D15"/>
    <mergeCell ref="C16:D16"/>
    <mergeCell ref="C17:D17"/>
    <mergeCell ref="M52:N52"/>
    <mergeCell ref="K52:L52"/>
    <mergeCell ref="M34:N34"/>
    <mergeCell ref="E33:F33"/>
    <mergeCell ref="G33:H33"/>
    <mergeCell ref="E34:F34"/>
    <mergeCell ref="G34:H34"/>
    <mergeCell ref="E52:F52"/>
    <mergeCell ref="G52:H52"/>
    <mergeCell ref="I33:J33"/>
    <mergeCell ref="K34:L34"/>
    <mergeCell ref="E12:F12"/>
    <mergeCell ref="I52:J52"/>
    <mergeCell ref="G12:H12"/>
    <mergeCell ref="G32:H32"/>
    <mergeCell ref="I12:J12"/>
    <mergeCell ref="I29:J29"/>
    <mergeCell ref="M32:N32"/>
    <mergeCell ref="K32:L32"/>
    <mergeCell ref="K12:L12"/>
    <mergeCell ref="K29:L29"/>
    <mergeCell ref="C6:G6"/>
    <mergeCell ref="C8:G8"/>
    <mergeCell ref="E29:F29"/>
    <mergeCell ref="G29:H29"/>
    <mergeCell ref="C10:G10"/>
    <mergeCell ref="C18:D18"/>
    <mergeCell ref="C19:D19"/>
    <mergeCell ref="C20:D20"/>
    <mergeCell ref="C21:D21"/>
    <mergeCell ref="C22:D22"/>
    <mergeCell ref="E32:F32"/>
    <mergeCell ref="E31:F31"/>
    <mergeCell ref="C4:N4"/>
    <mergeCell ref="K31:L31"/>
    <mergeCell ref="I34:J34"/>
    <mergeCell ref="M31:N31"/>
    <mergeCell ref="M29:N29"/>
    <mergeCell ref="E30:F30"/>
    <mergeCell ref="G30:H30"/>
    <mergeCell ref="I30:J30"/>
    <mergeCell ref="K30:L30"/>
    <mergeCell ref="G31:H31"/>
    <mergeCell ref="M33:N33"/>
    <mergeCell ref="K33:L33"/>
    <mergeCell ref="I32:J32"/>
    <mergeCell ref="I31:J31"/>
    <mergeCell ref="M30:N30"/>
    <mergeCell ref="M12:N12"/>
  </mergeCells>
  <phoneticPr fontId="0" type="noConversion"/>
  <conditionalFormatting sqref="E31:N31 E15:N15 E17:N17 E19:N19 C23:N23 E21:N21 E25:N25 E27:N27 E33:N33 E29:N29">
    <cfRule type="expression" dxfId="11" priority="1" stopIfTrue="1">
      <formula>$J$8=2</formula>
    </cfRule>
  </conditionalFormatting>
  <conditionalFormatting sqref="C47:D48 E16:N16 E18:N18 E20:N20 C24:N24 E22:N22 E26:N26 E32:N32 E28:N28 E30:N30 E34:N34">
    <cfRule type="expression" dxfId="10" priority="2" stopIfTrue="1">
      <formula>$J$8=1</formula>
    </cfRule>
  </conditionalFormatting>
  <conditionalFormatting sqref="C15:D15 C17:D17 C19:D19 C21:D21 C25:D25 C27:D27 C29:D29 C31:D31 C33:D33">
    <cfRule type="expression" dxfId="9" priority="3" stopIfTrue="1">
      <formula>$J$8=2</formula>
    </cfRule>
  </conditionalFormatting>
  <conditionalFormatting sqref="C16:D16 C18:D18 C20:D20 C22:D22 C26:D26 C28:D28 C30:D30 C32:D32 C34:D34">
    <cfRule type="expression" dxfId="8" priority="4" stopIfTrue="1">
      <formula>$J$8=1</formula>
    </cfRule>
  </conditionalFormatting>
  <dataValidations count="7">
    <dataValidation type="custom" allowBlank="1" showInputMessage="1" showErrorMessage="1" errorTitle="Ungültiger Wert" error="Negative Zahlen sind als Eingabe nicht erlaubt" sqref="E16 M32 M30 L26 N26 F18 H18 J18 L18 N18 F20 H20 J20 L20 N20 F22 H22 J22 L22 N22 F24 H24 J24 L24 N24 F26 H26 J26 E30 E32 E34 G30 G32 G34 I30 I32 I34 K30 K32 K34 M34">
      <formula1>E16&gt;=0</formula1>
    </dataValidation>
    <dataValidation allowBlank="1" showInputMessage="1" showErrorMessage="1" errorTitle="Ungültiger Wert" error="Negative Zahlen sind als Eingabe nicht erlaubt" sqref="H16 J16 L16 N16"/>
    <dataValidation type="custom" allowBlank="1" showInputMessage="1" showErrorMessage="1" errorTitle="Ungültiger Wert" error="Bitte geben Sie eine negative Zahl ein!" sqref="E54 G54 I54 K54 M54 E61 G61 I61 K61 M61 E68 G68 I68 K68 M68">
      <formula1>E54&lt;=0</formula1>
    </dataValidation>
    <dataValidation type="custom" allowBlank="1" showInputMessage="1" showErrorMessage="1" errorTitle="Ungültiger Wert" error="Bitte geben Sie einen positiven Wert ein!" sqref="E55 G55 I55 K55 M55 E62 G62 I62 K62 M62 E69 G69 I69 K69 M69">
      <formula1>E55&gt;=0</formula1>
    </dataValidation>
    <dataValidation type="custom" allowBlank="1" showInputMessage="1" showErrorMessage="1" errorTitle="Ungülter Wert" error="Der hier einzugebende Wert muss einerseits positiv sein und darf andererseits den laufenden Buchwert (Vorjahrsbestand + Investitionen) nicht überschreiten." sqref="E56 K56 G56 I56 M56 E63 G63 I63 K63 M63 E70 G70 I70 K70 M70">
      <formula1>AND(E56&gt;=0,E56&lt;=E57)</formula1>
    </dataValidation>
    <dataValidation type="textLength" operator="lessThanOrEqual" allowBlank="1" showInputMessage="1" showErrorMessage="1" errorTitle="Eingabemöglichkeit beschränkt" error="Die Textlänge ist auf 15 Zeichen beschränkt." sqref="C23">
      <formula1>15</formula1>
    </dataValidation>
    <dataValidation allowBlank="1" showInputMessage="1" showErrorMessage="1" errorTitle="Eingabe beschränkt" error="Die Textlänge ist auf 15 Zeichen beschränkt." sqref="C24"/>
  </dataValidations>
  <pageMargins left="0.39370078740157483" right="0.39370078740157483" top="0.98425196850393704" bottom="0.98425196850393704" header="0.51181102362204722" footer="0.51181102362204722"/>
  <pageSetup paperSize="9" scale="65" orientation="landscape" r:id="rId1"/>
  <headerFooter alignWithMargins="0">
    <oddFooter>&amp;LZKB KMU Check-up&amp;CSeite &amp;P / &amp;N&amp;R&amp;D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Drop Down 16">
              <controlPr defaultSize="0" autoLine="0" autoPict="0">
                <anchor moveWithCells="1">
                  <from>
                    <xdr:col>8</xdr:col>
                    <xdr:colOff>57150</xdr:colOff>
                    <xdr:row>7</xdr:row>
                    <xdr:rowOff>0</xdr:rowOff>
                  </from>
                  <to>
                    <xdr:col>13</xdr:col>
                    <xdr:colOff>390525</xdr:colOff>
                    <xdr:row>8</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pageSetUpPr fitToPage="1"/>
  </sheetPr>
  <dimension ref="A1:M553"/>
  <sheetViews>
    <sheetView showGridLines="0" showRowColHeaders="0" zoomScaleNormal="100" workbookViewId="0">
      <pane xSplit="2" ySplit="4"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54.375" style="70" customWidth="1"/>
    <col min="4" max="4" width="12.75" style="168" customWidth="1"/>
    <col min="5" max="5" width="8.25" style="168" hidden="1" customWidth="1"/>
    <col min="6" max="6" width="12.75" style="168" customWidth="1"/>
    <col min="7" max="7" width="10.125" style="168" hidden="1" customWidth="1"/>
    <col min="8" max="8" width="12.75" style="168" customWidth="1"/>
    <col min="9" max="9" width="13" style="168" hidden="1" customWidth="1"/>
    <col min="10" max="10" width="12.75" style="168" customWidth="1"/>
    <col min="11" max="11" width="12.25" style="168" hidden="1" customWidth="1"/>
    <col min="12" max="12" width="12.75" style="168" customWidth="1"/>
    <col min="13" max="13" width="11.5" style="168" hidden="1" customWidth="1"/>
    <col min="14" max="16384" width="11.5" style="70"/>
  </cols>
  <sheetData>
    <row r="1" spans="1:13" hidden="1">
      <c r="B1" s="70" t="s">
        <v>51</v>
      </c>
    </row>
    <row r="2" spans="1:13" ht="15">
      <c r="C2" s="503" t="str">
        <f>IF(Hauptübersicht!E13="","Bitte Firma unter 'Home' ergänzen",Hauptübersicht!E13)</f>
        <v>GitFit</v>
      </c>
      <c r="D2" s="504"/>
      <c r="E2" s="504"/>
      <c r="F2" s="504"/>
      <c r="G2" s="504"/>
      <c r="H2" s="504"/>
      <c r="I2" s="504"/>
      <c r="J2" s="504"/>
      <c r="K2" s="504"/>
      <c r="L2" s="505"/>
    </row>
    <row r="3" spans="1:13" ht="15" customHeight="1">
      <c r="F3" s="170"/>
      <c r="G3" s="170">
        <v>2</v>
      </c>
    </row>
    <row r="4" spans="1:13" ht="27">
      <c r="A4" s="172"/>
      <c r="C4" s="510" t="s">
        <v>88</v>
      </c>
      <c r="D4" s="510"/>
      <c r="E4" s="510"/>
      <c r="F4" s="510"/>
      <c r="G4" s="510"/>
      <c r="H4" s="510"/>
      <c r="I4" s="510"/>
      <c r="J4" s="510"/>
      <c r="K4" s="510"/>
      <c r="L4" s="510"/>
      <c r="M4" s="510"/>
    </row>
    <row r="5" spans="1:13" s="72" customFormat="1" ht="15.75" customHeight="1">
      <c r="A5" s="99"/>
      <c r="C5" s="173"/>
      <c r="D5" s="173"/>
      <c r="E5" s="173"/>
      <c r="F5" s="173"/>
      <c r="G5" s="173"/>
      <c r="H5" s="173"/>
      <c r="I5" s="173"/>
      <c r="J5" s="173"/>
      <c r="K5" s="173"/>
      <c r="L5" s="173"/>
      <c r="M5" s="173"/>
    </row>
    <row r="6" spans="1:13" s="72" customFormat="1" ht="15.75" customHeight="1">
      <c r="A6" s="174"/>
      <c r="C6" s="506" t="s">
        <v>186</v>
      </c>
      <c r="D6" s="506"/>
      <c r="E6" s="506"/>
      <c r="F6" s="506"/>
      <c r="G6" s="173"/>
      <c r="H6" s="173"/>
      <c r="I6" s="173"/>
      <c r="J6" s="173"/>
      <c r="K6" s="173"/>
      <c r="L6" s="173"/>
      <c r="M6" s="173"/>
    </row>
    <row r="7" spans="1:13" s="72" customFormat="1" ht="5.0999999999999996" customHeight="1">
      <c r="A7" s="175"/>
      <c r="C7" s="173"/>
      <c r="D7" s="173"/>
      <c r="E7" s="173"/>
      <c r="F7" s="173"/>
      <c r="G7" s="173"/>
      <c r="H7" s="173"/>
      <c r="I7" s="173"/>
      <c r="J7" s="173"/>
      <c r="K7" s="173"/>
      <c r="L7" s="173"/>
      <c r="M7" s="173"/>
    </row>
    <row r="8" spans="1:13" s="72" customFormat="1" ht="50.25" customHeight="1">
      <c r="A8" s="175"/>
      <c r="C8" s="487" t="s">
        <v>190</v>
      </c>
      <c r="D8" s="487"/>
      <c r="E8" s="487"/>
      <c r="F8" s="487"/>
      <c r="G8" s="173"/>
      <c r="H8" s="173"/>
      <c r="I8" s="173"/>
      <c r="J8" s="173"/>
      <c r="K8" s="173"/>
      <c r="L8" s="173"/>
      <c r="M8" s="173"/>
    </row>
    <row r="9" spans="1:13" s="72" customFormat="1" ht="5.0999999999999996" customHeight="1">
      <c r="A9" s="175"/>
      <c r="C9" s="173"/>
      <c r="D9" s="173"/>
      <c r="E9" s="173"/>
      <c r="F9" s="173"/>
      <c r="G9" s="173"/>
      <c r="H9" s="173"/>
      <c r="I9" s="173"/>
      <c r="J9" s="173"/>
      <c r="K9" s="173"/>
      <c r="L9" s="173"/>
      <c r="M9" s="173"/>
    </row>
    <row r="10" spans="1:13" s="72" customFormat="1" ht="33.75" customHeight="1">
      <c r="A10" s="175"/>
      <c r="C10" s="487" t="s">
        <v>165</v>
      </c>
      <c r="D10" s="487"/>
      <c r="E10" s="487"/>
      <c r="F10" s="487"/>
      <c r="G10" s="173"/>
      <c r="H10" s="173"/>
      <c r="I10" s="173"/>
      <c r="J10" s="173"/>
      <c r="K10" s="173"/>
      <c r="L10" s="173"/>
      <c r="M10" s="173"/>
    </row>
    <row r="11" spans="1:13" s="72" customFormat="1" ht="5.0999999999999996" customHeight="1">
      <c r="A11" s="175"/>
      <c r="C11" s="173"/>
      <c r="D11" s="173"/>
      <c r="E11" s="173"/>
      <c r="F11" s="173"/>
      <c r="G11" s="173"/>
      <c r="H11" s="173"/>
      <c r="I11" s="173"/>
      <c r="J11" s="173"/>
      <c r="K11" s="173"/>
      <c r="L11" s="173"/>
      <c r="M11" s="173"/>
    </row>
    <row r="12" spans="1:13" s="72" customFormat="1" ht="35.1" customHeight="1">
      <c r="A12" s="175"/>
      <c r="C12" s="487" t="s">
        <v>170</v>
      </c>
      <c r="D12" s="487"/>
      <c r="E12" s="487"/>
      <c r="F12" s="487"/>
      <c r="G12" s="173"/>
      <c r="H12" s="173"/>
      <c r="I12" s="173"/>
      <c r="J12" s="173"/>
      <c r="K12" s="173"/>
      <c r="L12" s="173"/>
      <c r="M12" s="173"/>
    </row>
    <row r="13" spans="1:13" ht="5.0999999999999996" customHeight="1">
      <c r="B13" s="77"/>
      <c r="C13" s="77"/>
      <c r="D13" s="244"/>
      <c r="E13" s="244"/>
      <c r="F13" s="244"/>
      <c r="G13" s="244"/>
      <c r="H13" s="244"/>
      <c r="I13" s="244"/>
      <c r="J13" s="244"/>
      <c r="K13" s="244"/>
      <c r="L13" s="244"/>
      <c r="M13" s="244"/>
    </row>
    <row r="14" spans="1:13" s="181" customFormat="1" ht="13.5" thickBot="1">
      <c r="B14" s="182"/>
      <c r="C14" s="245" t="s">
        <v>102</v>
      </c>
      <c r="D14" s="550"/>
      <c r="E14" s="550"/>
      <c r="F14" s="550"/>
      <c r="G14" s="550"/>
      <c r="H14" s="550"/>
      <c r="I14" s="550"/>
      <c r="J14" s="550"/>
      <c r="K14" s="550"/>
      <c r="L14" s="550"/>
      <c r="M14" s="550"/>
    </row>
    <row r="15" spans="1:13" s="181" customFormat="1" ht="13.5" thickBot="1">
      <c r="B15" s="182"/>
      <c r="C15" s="246" t="str">
        <f>Hauptübersicht!E16</f>
        <v>in 1'000 CHF</v>
      </c>
      <c r="D15" s="457">
        <f>Hauptübersicht!K13</f>
        <v>2017</v>
      </c>
      <c r="E15" s="458"/>
      <c r="F15" s="457">
        <f>Hauptübersicht!K14</f>
        <v>2018</v>
      </c>
      <c r="G15" s="458"/>
      <c r="H15" s="457">
        <f>Hauptübersicht!K15</f>
        <v>2019</v>
      </c>
      <c r="I15" s="458"/>
      <c r="J15" s="457">
        <f>Hauptübersicht!K16</f>
        <v>2020</v>
      </c>
      <c r="K15" s="458"/>
      <c r="L15" s="457">
        <f>Hauptübersicht!K17</f>
        <v>2021</v>
      </c>
      <c r="M15" s="247"/>
    </row>
    <row r="16" spans="1:13" s="112" customFormat="1" ht="12.75">
      <c r="D16" s="205"/>
      <c r="E16" s="205"/>
      <c r="F16" s="205"/>
      <c r="G16" s="205"/>
      <c r="H16" s="205"/>
      <c r="I16" s="205"/>
      <c r="J16" s="205"/>
      <c r="K16" s="205"/>
      <c r="L16" s="205"/>
      <c r="M16" s="205"/>
    </row>
    <row r="17" spans="2:13" s="112" customFormat="1" ht="12.75">
      <c r="C17" s="248" t="s">
        <v>104</v>
      </c>
      <c r="D17" s="249">
        <f>'Output Mittelflussrechnung'!D22</f>
        <v>-313.07333333333332</v>
      </c>
      <c r="E17" s="250"/>
      <c r="F17" s="249">
        <f>'Output Mittelflussrechnung'!F22</f>
        <v>-278.39833333333326</v>
      </c>
      <c r="G17" s="250"/>
      <c r="H17" s="249">
        <f>'Output Mittelflussrechnung'!H22</f>
        <v>-74.558333333333337</v>
      </c>
      <c r="I17" s="250"/>
      <c r="J17" s="249">
        <f>'Output Mittelflussrechnung'!J22</f>
        <v>37.25</v>
      </c>
      <c r="K17" s="250"/>
      <c r="L17" s="249">
        <f>'Output Mittelflussrechnung'!L22</f>
        <v>0</v>
      </c>
      <c r="M17" s="251"/>
    </row>
    <row r="18" spans="2:13" s="112" customFormat="1" ht="12.75">
      <c r="C18" s="252" t="s">
        <v>168</v>
      </c>
      <c r="D18" s="253">
        <f>'Output Planbilanz'!D8-'Input Eröffnungsbilanz'!$K$13</f>
        <v>190</v>
      </c>
      <c r="E18" s="254"/>
      <c r="F18" s="253">
        <f>'Output Planbilanz'!F8-'Input Eröffnungsbilanz'!$K$13</f>
        <v>376.92666666666668</v>
      </c>
      <c r="G18" s="254"/>
      <c r="H18" s="253">
        <f>'Output Planbilanz'!H8-'Input Eröffnungsbilanz'!$K$13</f>
        <v>98.528333333333421</v>
      </c>
      <c r="I18" s="254"/>
      <c r="J18" s="253">
        <f>'Output Planbilanz'!J8-'Input Eröffnungsbilanz'!$K$13</f>
        <v>23.970000000000084</v>
      </c>
      <c r="K18" s="254"/>
      <c r="L18" s="253">
        <f>'Output Planbilanz'!L8-'Input Eröffnungsbilanz'!$K$13</f>
        <v>61.220000000000084</v>
      </c>
      <c r="M18" s="205"/>
    </row>
    <row r="19" spans="2:13" s="112" customFormat="1" ht="12.75">
      <c r="C19" s="186" t="s">
        <v>105</v>
      </c>
      <c r="D19" s="255">
        <f>-'Output Planbilanz'!D23</f>
        <v>0</v>
      </c>
      <c r="E19" s="241"/>
      <c r="F19" s="255">
        <f>-'Output Planbilanz'!F23</f>
        <v>0</v>
      </c>
      <c r="G19" s="241"/>
      <c r="H19" s="255">
        <f>-'Output Planbilanz'!H23</f>
        <v>0</v>
      </c>
      <c r="I19" s="241"/>
      <c r="J19" s="255">
        <f>-'Output Planbilanz'!J23</f>
        <v>0</v>
      </c>
      <c r="K19" s="241"/>
      <c r="L19" s="255">
        <f>-'Output Planbilanz'!L23</f>
        <v>0</v>
      </c>
      <c r="M19" s="205"/>
    </row>
    <row r="20" spans="2:13" s="112" customFormat="1" ht="12.75">
      <c r="C20" s="256" t="s">
        <v>109</v>
      </c>
      <c r="D20" s="257">
        <f>SUM(D17:D19)</f>
        <v>-123.07333333333332</v>
      </c>
      <c r="E20" s="258"/>
      <c r="F20" s="257">
        <f>SUM(F17:F19)</f>
        <v>98.528333333333421</v>
      </c>
      <c r="G20" s="258"/>
      <c r="H20" s="257">
        <f>SUM(H17:H19)</f>
        <v>23.970000000000084</v>
      </c>
      <c r="I20" s="258"/>
      <c r="J20" s="257">
        <f>SUM(J17:J19)</f>
        <v>61.220000000000084</v>
      </c>
      <c r="K20" s="258"/>
      <c r="L20" s="257">
        <f>SUM(L17:L19)</f>
        <v>61.220000000000084</v>
      </c>
      <c r="M20" s="259"/>
    </row>
    <row r="21" spans="2:13" s="112" customFormat="1" ht="12.75">
      <c r="D21" s="205"/>
      <c r="E21" s="205"/>
      <c r="F21" s="205"/>
      <c r="G21" s="205"/>
      <c r="H21" s="205"/>
      <c r="I21" s="205"/>
      <c r="J21" s="205"/>
      <c r="K21" s="205"/>
      <c r="L21" s="205"/>
      <c r="M21" s="205"/>
    </row>
    <row r="22" spans="2:13" s="260" customFormat="1" ht="12.75">
      <c r="C22" s="261" t="s">
        <v>112</v>
      </c>
      <c r="D22" s="262"/>
      <c r="E22" s="262"/>
      <c r="F22" s="262"/>
      <c r="G22" s="262"/>
      <c r="H22" s="262"/>
      <c r="I22" s="262"/>
      <c r="J22" s="262"/>
      <c r="K22" s="262"/>
      <c r="L22" s="263"/>
      <c r="M22" s="264"/>
    </row>
    <row r="23" spans="2:13" s="112" customFormat="1" ht="12.75" hidden="1">
      <c r="C23" s="265"/>
      <c r="D23" s="241"/>
      <c r="E23" s="241"/>
      <c r="F23" s="241"/>
      <c r="G23" s="241"/>
      <c r="H23" s="241"/>
      <c r="I23" s="241"/>
      <c r="J23" s="241"/>
      <c r="K23" s="241"/>
      <c r="L23" s="266"/>
      <c r="M23" s="205"/>
    </row>
    <row r="24" spans="2:13" s="112" customFormat="1" ht="12.75">
      <c r="B24" s="111"/>
      <c r="C24" s="252" t="s">
        <v>100</v>
      </c>
      <c r="D24" s="267">
        <v>500</v>
      </c>
      <c r="E24" s="268">
        <f>-'Output Planbilanz'!D27</f>
        <v>0</v>
      </c>
      <c r="F24" s="267"/>
      <c r="G24" s="268">
        <f>-'Output Planbilanz'!F27</f>
        <v>-500</v>
      </c>
      <c r="H24" s="267"/>
      <c r="I24" s="268">
        <f>-'Output Planbilanz'!H27</f>
        <v>-500</v>
      </c>
      <c r="J24" s="267"/>
      <c r="K24" s="268">
        <f>-'Output Planbilanz'!J27</f>
        <v>-500</v>
      </c>
      <c r="L24" s="269"/>
      <c r="M24" s="241">
        <f>-'Output Planbilanz'!L27</f>
        <v>-500</v>
      </c>
    </row>
    <row r="25" spans="2:13" s="112" customFormat="1" ht="12.75">
      <c r="B25" s="111"/>
      <c r="C25" s="270" t="s">
        <v>106</v>
      </c>
      <c r="D25" s="271"/>
      <c r="E25" s="272"/>
      <c r="F25" s="271"/>
      <c r="G25" s="272"/>
      <c r="H25" s="271"/>
      <c r="I25" s="272"/>
      <c r="J25" s="271"/>
      <c r="K25" s="272"/>
      <c r="L25" s="269"/>
      <c r="M25" s="273"/>
    </row>
    <row r="26" spans="2:13" s="112" customFormat="1" ht="12.75">
      <c r="B26" s="111"/>
      <c r="C26" s="201" t="s">
        <v>101</v>
      </c>
      <c r="D26" s="274"/>
      <c r="E26" s="275">
        <f>-('Output Planbilanz'!D33+'Output Planerfolgsrechnung'!D26+'Input Finanzierung'!D25)</f>
        <v>105.38</v>
      </c>
      <c r="F26" s="274"/>
      <c r="G26" s="275">
        <f>-('Output Planbilanz'!F33+'Output Planerfolgsrechnung'!F26+'Input Finanzierung'!F25)</f>
        <v>376.92999999999995</v>
      </c>
      <c r="H26" s="274"/>
      <c r="I26" s="275">
        <f>-('Output Planbilanz'!H33+'Output Planerfolgsrechnung'!H26+'Input Finanzierung'!H25)</f>
        <v>428.78</v>
      </c>
      <c r="J26" s="274"/>
      <c r="K26" s="275">
        <f>-('Output Planbilanz'!J33+'Output Planerfolgsrechnung'!J26+'Input Finanzierung'!J25)</f>
        <v>428.78</v>
      </c>
      <c r="L26" s="276"/>
      <c r="M26" s="275">
        <f>-('Output Planbilanz'!L33+'Output Planerfolgsrechnung'!L26+'Input Finanzierung'!L25)</f>
        <v>428.78</v>
      </c>
    </row>
    <row r="27" spans="2:13" s="280" customFormat="1" ht="12.75">
      <c r="B27" s="277"/>
      <c r="C27" s="277"/>
      <c r="D27" s="278"/>
      <c r="E27" s="278"/>
      <c r="F27" s="278"/>
      <c r="G27" s="278"/>
      <c r="H27" s="278"/>
      <c r="I27" s="279"/>
      <c r="J27" s="279"/>
      <c r="K27" s="279"/>
      <c r="L27" s="279"/>
      <c r="M27" s="279"/>
    </row>
    <row r="28" spans="2:13" s="260" customFormat="1" ht="12.75">
      <c r="C28" s="261" t="s">
        <v>103</v>
      </c>
      <c r="D28" s="262"/>
      <c r="E28" s="262"/>
      <c r="F28" s="262"/>
      <c r="G28" s="262"/>
      <c r="H28" s="262"/>
      <c r="I28" s="262"/>
      <c r="J28" s="262"/>
      <c r="K28" s="262"/>
      <c r="L28" s="263"/>
      <c r="M28" s="264"/>
    </row>
    <row r="29" spans="2:13" s="112" customFormat="1" ht="12.75">
      <c r="B29" s="111"/>
      <c r="C29" s="281" t="s">
        <v>107</v>
      </c>
      <c r="D29" s="282">
        <f>MAX('Output Planbilanz'!D8+'Input Finanzierung'!D17+'Input Finanzierung'!D19+'Input Finanzierung'!D24+'Input Finanzierung'!D25+'Input Finanzierung'!D26,'Input Eröffnungsbilanz'!$K$13,0)</f>
        <v>386.92666666666668</v>
      </c>
      <c r="E29" s="283"/>
      <c r="F29" s="282">
        <f>MAX('Output Planbilanz'!F8+'Input Finanzierung'!F17+'Input Finanzierung'!F19+'Input Finanzierung'!F24+'Input Finanzierung'!F25+'Input Finanzierung'!F26,'Input Eröffnungsbilanz'!$K$13,0)</f>
        <v>108.52833333333342</v>
      </c>
      <c r="G29" s="283"/>
      <c r="H29" s="282">
        <f>MAX('Output Planbilanz'!H8+'Input Finanzierung'!H17+'Input Finanzierung'!H19+'Input Finanzierung'!H24+'Input Finanzierung'!H25+'Input Finanzierung'!H26,'Input Eröffnungsbilanz'!$K$13,0)</f>
        <v>33.970000000000084</v>
      </c>
      <c r="I29" s="283"/>
      <c r="J29" s="282">
        <f>MAX('Output Planbilanz'!J8+'Input Finanzierung'!J17+'Input Finanzierung'!J19+'Input Finanzierung'!J24+'Input Finanzierung'!J25+'Input Finanzierung'!J26,'Input Eröffnungsbilanz'!$K$13,0)</f>
        <v>71.220000000000084</v>
      </c>
      <c r="K29" s="283"/>
      <c r="L29" s="282">
        <f>MAX('Output Planbilanz'!L8+'Input Finanzierung'!L17+'Input Finanzierung'!L19+'Input Finanzierung'!L24+'Input Finanzierung'!L25+'Input Finanzierung'!L26,'Input Eröffnungsbilanz'!$K$13,0)</f>
        <v>71.220000000000084</v>
      </c>
      <c r="M29" s="205"/>
    </row>
    <row r="30" spans="2:13" s="112" customFormat="1" ht="12.75">
      <c r="B30" s="111"/>
      <c r="C30" s="227" t="s">
        <v>108</v>
      </c>
      <c r="D30" s="284">
        <f>D29-'Input Eröffnungsbilanz'!$K$13</f>
        <v>376.92666666666668</v>
      </c>
      <c r="E30" s="285"/>
      <c r="F30" s="284">
        <f>F29-'Input Eröffnungsbilanz'!$K$13</f>
        <v>98.528333333333421</v>
      </c>
      <c r="G30" s="285"/>
      <c r="H30" s="284">
        <f>H29-'Input Eröffnungsbilanz'!$K$13</f>
        <v>23.970000000000084</v>
      </c>
      <c r="I30" s="285"/>
      <c r="J30" s="284">
        <f>J29-'Input Eröffnungsbilanz'!$K$13</f>
        <v>61.220000000000084</v>
      </c>
      <c r="K30" s="285"/>
      <c r="L30" s="284">
        <f>L29-'Input Eröffnungsbilanz'!$K$13</f>
        <v>61.220000000000084</v>
      </c>
      <c r="M30" s="205"/>
    </row>
    <row r="31" spans="2:13" s="112" customFormat="1" ht="12.75">
      <c r="B31" s="111"/>
      <c r="C31" s="113" t="s">
        <v>79</v>
      </c>
      <c r="D31" s="255">
        <f>-MIN(D20+D24+D25+D26,0)</f>
        <v>0</v>
      </c>
      <c r="E31" s="241"/>
      <c r="F31" s="255">
        <f>-MIN(F20+F24+F25+F26,0)</f>
        <v>0</v>
      </c>
      <c r="G31" s="241"/>
      <c r="H31" s="255">
        <f>-MIN(H20+H24+H25+H26,0)</f>
        <v>0</v>
      </c>
      <c r="I31" s="241"/>
      <c r="J31" s="255">
        <f>-MIN(J20+J24+J25+J26,0)</f>
        <v>0</v>
      </c>
      <c r="K31" s="241"/>
      <c r="L31" s="255">
        <f>-MIN(L20+L24+L25+L26,0)</f>
        <v>0</v>
      </c>
      <c r="M31" s="205"/>
    </row>
    <row r="32" spans="2:13" s="287" customFormat="1" ht="12.75">
      <c r="B32" s="286"/>
      <c r="C32" s="256" t="s">
        <v>110</v>
      </c>
      <c r="D32" s="257">
        <f>D30-D31</f>
        <v>376.92666666666668</v>
      </c>
      <c r="E32" s="258"/>
      <c r="F32" s="257">
        <f>F30-F31</f>
        <v>98.528333333333421</v>
      </c>
      <c r="G32" s="258"/>
      <c r="H32" s="257">
        <f>H30-H31</f>
        <v>23.970000000000084</v>
      </c>
      <c r="I32" s="258"/>
      <c r="J32" s="257">
        <f>J30-J31</f>
        <v>61.220000000000084</v>
      </c>
      <c r="K32" s="258"/>
      <c r="L32" s="257">
        <f>L30-L31</f>
        <v>61.220000000000084</v>
      </c>
      <c r="M32" s="259"/>
    </row>
    <row r="33" spans="2:13" s="112" customFormat="1" ht="12.75">
      <c r="B33" s="111"/>
      <c r="C33" s="111"/>
      <c r="D33" s="205"/>
      <c r="E33" s="205"/>
      <c r="F33" s="205"/>
      <c r="G33" s="205"/>
      <c r="H33" s="205"/>
      <c r="I33" s="205"/>
      <c r="J33" s="205"/>
      <c r="K33" s="205"/>
      <c r="L33" s="205"/>
      <c r="M33" s="205"/>
    </row>
    <row r="34" spans="2:13" s="112" customFormat="1" ht="12.75">
      <c r="B34" s="111"/>
      <c r="C34" s="111"/>
      <c r="D34" s="205"/>
      <c r="E34" s="205"/>
      <c r="F34" s="205"/>
      <c r="G34" s="205"/>
      <c r="H34" s="205"/>
      <c r="I34" s="205"/>
      <c r="J34" s="205"/>
      <c r="K34" s="205"/>
      <c r="L34" s="205"/>
      <c r="M34" s="205"/>
    </row>
    <row r="35" spans="2:13" s="112" customFormat="1" ht="12.75">
      <c r="B35" s="111"/>
      <c r="C35" s="111"/>
      <c r="D35" s="205"/>
      <c r="E35" s="205"/>
      <c r="F35" s="205"/>
      <c r="G35" s="205"/>
      <c r="H35" s="205"/>
      <c r="I35" s="205"/>
      <c r="J35" s="205"/>
      <c r="K35" s="205"/>
      <c r="L35" s="205"/>
      <c r="M35" s="205"/>
    </row>
    <row r="36" spans="2:13" s="112" customFormat="1" ht="12.75">
      <c r="B36" s="111"/>
      <c r="C36" s="111"/>
      <c r="D36" s="205"/>
      <c r="E36" s="205"/>
      <c r="F36" s="205"/>
      <c r="G36" s="205"/>
      <c r="H36" s="205"/>
      <c r="I36" s="205"/>
      <c r="J36" s="205"/>
      <c r="K36" s="205"/>
      <c r="L36" s="205"/>
      <c r="M36" s="205"/>
    </row>
    <row r="37" spans="2:13" s="112" customFormat="1" ht="12.75">
      <c r="D37" s="205"/>
      <c r="E37" s="205"/>
      <c r="F37" s="205"/>
      <c r="G37" s="205"/>
      <c r="H37" s="205"/>
      <c r="I37" s="205"/>
      <c r="J37" s="205"/>
      <c r="K37" s="205"/>
      <c r="L37" s="205"/>
      <c r="M37" s="205"/>
    </row>
    <row r="38" spans="2:13" s="112" customFormat="1" ht="12.75">
      <c r="D38" s="205"/>
      <c r="E38" s="288"/>
      <c r="F38" s="205"/>
      <c r="G38" s="205"/>
      <c r="H38" s="205"/>
      <c r="I38" s="205"/>
      <c r="J38" s="205"/>
      <c r="K38" s="205"/>
      <c r="L38" s="205"/>
      <c r="M38" s="205"/>
    </row>
    <row r="39" spans="2:13" s="112" customFormat="1" ht="12.75">
      <c r="D39" s="205"/>
      <c r="E39" s="289"/>
      <c r="F39" s="205"/>
      <c r="G39" s="205"/>
      <c r="H39" s="205"/>
      <c r="I39" s="205"/>
      <c r="J39" s="205"/>
      <c r="K39" s="205"/>
      <c r="L39" s="205"/>
      <c r="M39" s="205"/>
    </row>
    <row r="40" spans="2:13" s="112" customFormat="1" ht="12.75">
      <c r="D40" s="205"/>
      <c r="E40" s="205"/>
      <c r="F40" s="205"/>
      <c r="G40" s="205"/>
      <c r="H40" s="205"/>
      <c r="I40" s="205"/>
      <c r="J40" s="205"/>
      <c r="K40" s="205"/>
      <c r="L40" s="205"/>
      <c r="M40" s="205"/>
    </row>
    <row r="41" spans="2:13" s="112" customFormat="1" ht="12.75">
      <c r="D41" s="205"/>
      <c r="E41" s="205"/>
      <c r="F41" s="205"/>
      <c r="G41" s="205"/>
      <c r="H41" s="205"/>
      <c r="I41" s="205"/>
      <c r="J41" s="205"/>
      <c r="K41" s="205"/>
      <c r="L41" s="205"/>
      <c r="M41" s="205"/>
    </row>
    <row r="42" spans="2:13" s="112" customFormat="1" ht="12.75">
      <c r="D42" s="205"/>
      <c r="E42" s="205"/>
      <c r="F42" s="205"/>
      <c r="G42" s="205"/>
      <c r="H42" s="205"/>
      <c r="I42" s="205"/>
      <c r="J42" s="205"/>
      <c r="K42" s="205"/>
      <c r="L42" s="205"/>
      <c r="M42" s="205"/>
    </row>
    <row r="43" spans="2:13" s="112" customFormat="1" ht="12.75">
      <c r="D43" s="205"/>
      <c r="E43" s="205"/>
      <c r="F43" s="205"/>
      <c r="G43" s="205"/>
      <c r="H43" s="205"/>
      <c r="I43" s="205"/>
      <c r="J43" s="205"/>
      <c r="K43" s="205"/>
      <c r="L43" s="205"/>
      <c r="M43" s="205"/>
    </row>
    <row r="44" spans="2:13" s="112" customFormat="1" ht="12.75">
      <c r="D44" s="205"/>
      <c r="E44" s="205"/>
      <c r="F44" s="205"/>
      <c r="G44" s="205"/>
      <c r="H44" s="205"/>
      <c r="I44" s="205"/>
      <c r="J44" s="205"/>
      <c r="K44" s="205"/>
      <c r="L44" s="205"/>
      <c r="M44" s="205"/>
    </row>
    <row r="45" spans="2:13" s="112" customFormat="1" ht="12.75">
      <c r="D45" s="205"/>
      <c r="E45" s="205"/>
      <c r="F45" s="205"/>
      <c r="G45" s="205"/>
      <c r="H45" s="205"/>
      <c r="I45" s="205"/>
      <c r="J45" s="205"/>
      <c r="K45" s="205"/>
      <c r="L45" s="205"/>
      <c r="M45" s="205"/>
    </row>
    <row r="46" spans="2:13" s="112" customFormat="1" ht="12.75">
      <c r="D46" s="205"/>
      <c r="E46" s="205"/>
      <c r="F46" s="205"/>
      <c r="G46" s="205"/>
      <c r="H46" s="205"/>
      <c r="I46" s="205"/>
      <c r="J46" s="205"/>
      <c r="K46" s="205"/>
      <c r="L46" s="205"/>
      <c r="M46" s="205"/>
    </row>
    <row r="47" spans="2:13" s="112" customFormat="1" ht="12.75">
      <c r="D47" s="205"/>
      <c r="E47" s="205"/>
      <c r="F47" s="205"/>
      <c r="G47" s="205"/>
      <c r="H47" s="205"/>
      <c r="I47" s="205"/>
      <c r="J47" s="205"/>
      <c r="K47" s="205"/>
      <c r="L47" s="205"/>
      <c r="M47" s="205"/>
    </row>
    <row r="48" spans="2:13" s="112" customFormat="1" ht="12.75">
      <c r="D48" s="205"/>
      <c r="E48" s="205"/>
      <c r="F48" s="205"/>
      <c r="G48" s="205"/>
      <c r="H48" s="205"/>
      <c r="I48" s="205"/>
      <c r="J48" s="205"/>
      <c r="K48" s="205"/>
      <c r="L48" s="205"/>
      <c r="M48" s="205"/>
    </row>
    <row r="49" spans="4:13" s="112" customFormat="1" ht="12.75">
      <c r="D49" s="205"/>
      <c r="E49" s="205"/>
      <c r="F49" s="205"/>
      <c r="G49" s="205"/>
      <c r="H49" s="205"/>
      <c r="I49" s="205"/>
      <c r="J49" s="205"/>
      <c r="K49" s="205"/>
      <c r="L49" s="205"/>
      <c r="M49" s="205"/>
    </row>
    <row r="50" spans="4:13" s="112" customFormat="1" ht="12.75">
      <c r="D50" s="205"/>
      <c r="E50" s="205"/>
      <c r="F50" s="205"/>
      <c r="G50" s="205"/>
      <c r="H50" s="205"/>
      <c r="I50" s="205"/>
      <c r="J50" s="205"/>
      <c r="K50" s="205"/>
      <c r="L50" s="205"/>
      <c r="M50" s="205"/>
    </row>
    <row r="51" spans="4:13" s="112" customFormat="1" ht="12.75">
      <c r="D51" s="205"/>
      <c r="E51" s="205"/>
      <c r="F51" s="205"/>
      <c r="G51" s="205"/>
      <c r="H51" s="205"/>
      <c r="I51" s="205"/>
      <c r="J51" s="205"/>
      <c r="K51" s="205"/>
      <c r="L51" s="205"/>
      <c r="M51" s="205"/>
    </row>
    <row r="52" spans="4:13" s="112" customFormat="1" ht="12.75">
      <c r="D52" s="205"/>
      <c r="E52" s="205"/>
      <c r="F52" s="205"/>
      <c r="G52" s="205"/>
      <c r="H52" s="205"/>
      <c r="I52" s="205"/>
      <c r="J52" s="205"/>
      <c r="K52" s="205"/>
      <c r="L52" s="205"/>
      <c r="M52" s="205"/>
    </row>
    <row r="53" spans="4:13" s="112" customFormat="1" ht="12.75">
      <c r="D53" s="205"/>
      <c r="E53" s="205"/>
      <c r="F53" s="205"/>
      <c r="G53" s="205"/>
      <c r="H53" s="205"/>
      <c r="I53" s="205"/>
      <c r="J53" s="205"/>
      <c r="K53" s="205"/>
      <c r="L53" s="205"/>
      <c r="M53" s="205"/>
    </row>
    <row r="54" spans="4:13" s="112" customFormat="1" ht="12.75">
      <c r="D54" s="205"/>
      <c r="E54" s="205"/>
      <c r="F54" s="205"/>
      <c r="G54" s="205"/>
      <c r="H54" s="205"/>
      <c r="I54" s="205"/>
      <c r="J54" s="205"/>
      <c r="K54" s="205"/>
      <c r="L54" s="205"/>
      <c r="M54" s="205"/>
    </row>
    <row r="55" spans="4:13" s="112" customFormat="1" ht="12.75">
      <c r="D55" s="205"/>
      <c r="E55" s="205"/>
      <c r="F55" s="205"/>
      <c r="G55" s="205"/>
      <c r="H55" s="205"/>
      <c r="I55" s="205"/>
      <c r="J55" s="205"/>
      <c r="K55" s="205"/>
      <c r="L55" s="205"/>
      <c r="M55" s="205"/>
    </row>
    <row r="56" spans="4:13" s="112" customFormat="1" ht="12.75">
      <c r="D56" s="205"/>
      <c r="E56" s="205"/>
      <c r="F56" s="205"/>
      <c r="G56" s="205"/>
      <c r="H56" s="205"/>
      <c r="I56" s="205"/>
      <c r="J56" s="205"/>
      <c r="K56" s="205"/>
      <c r="L56" s="205"/>
      <c r="M56" s="205"/>
    </row>
    <row r="57" spans="4:13" s="112" customFormat="1" ht="12.75">
      <c r="D57" s="205"/>
      <c r="E57" s="205"/>
      <c r="F57" s="205"/>
      <c r="G57" s="205"/>
      <c r="H57" s="205"/>
      <c r="I57" s="205"/>
      <c r="J57" s="205"/>
      <c r="K57" s="205"/>
      <c r="L57" s="205"/>
      <c r="M57" s="205"/>
    </row>
    <row r="58" spans="4:13" s="112" customFormat="1" ht="12.75">
      <c r="D58" s="205"/>
      <c r="E58" s="205"/>
      <c r="F58" s="205"/>
      <c r="G58" s="205"/>
      <c r="H58" s="205"/>
      <c r="I58" s="205"/>
      <c r="J58" s="205"/>
      <c r="K58" s="205"/>
      <c r="L58" s="205"/>
      <c r="M58" s="205"/>
    </row>
    <row r="59" spans="4:13" s="112" customFormat="1" ht="12.75">
      <c r="D59" s="205"/>
      <c r="E59" s="205"/>
      <c r="F59" s="205"/>
      <c r="G59" s="205"/>
      <c r="H59" s="205"/>
      <c r="I59" s="205"/>
      <c r="J59" s="205"/>
      <c r="K59" s="205"/>
      <c r="L59" s="205"/>
      <c r="M59" s="205"/>
    </row>
    <row r="60" spans="4:13" s="112" customFormat="1" ht="12.75">
      <c r="D60" s="205"/>
      <c r="E60" s="205"/>
      <c r="F60" s="205"/>
      <c r="G60" s="205"/>
      <c r="H60" s="205"/>
      <c r="I60" s="205"/>
      <c r="J60" s="205"/>
      <c r="K60" s="205"/>
      <c r="L60" s="205"/>
      <c r="M60" s="205"/>
    </row>
    <row r="61" spans="4:13" s="112" customFormat="1" ht="12.75">
      <c r="D61" s="205"/>
      <c r="E61" s="205"/>
      <c r="F61" s="205"/>
      <c r="G61" s="205"/>
      <c r="H61" s="205"/>
      <c r="I61" s="205"/>
      <c r="J61" s="205"/>
      <c r="K61" s="205"/>
      <c r="L61" s="205"/>
      <c r="M61" s="205"/>
    </row>
    <row r="62" spans="4:13" s="112" customFormat="1" ht="12.75">
      <c r="D62" s="205"/>
      <c r="E62" s="205"/>
      <c r="F62" s="205"/>
      <c r="G62" s="205"/>
      <c r="H62" s="205"/>
      <c r="I62" s="205"/>
      <c r="J62" s="205"/>
      <c r="K62" s="205"/>
      <c r="L62" s="205"/>
      <c r="M62" s="205"/>
    </row>
    <row r="63" spans="4:13" s="112" customFormat="1" ht="12.75">
      <c r="D63" s="205"/>
      <c r="E63" s="205"/>
      <c r="F63" s="205"/>
      <c r="G63" s="205"/>
      <c r="H63" s="205"/>
      <c r="I63" s="205"/>
      <c r="J63" s="205"/>
      <c r="K63" s="205"/>
      <c r="L63" s="205"/>
      <c r="M63" s="205"/>
    </row>
    <row r="64" spans="4:13" s="112" customFormat="1" ht="12.75">
      <c r="D64" s="205"/>
      <c r="E64" s="205"/>
      <c r="F64" s="205"/>
      <c r="G64" s="205"/>
      <c r="H64" s="205"/>
      <c r="I64" s="205"/>
      <c r="J64" s="205"/>
      <c r="K64" s="205"/>
      <c r="L64" s="205"/>
      <c r="M64" s="205"/>
    </row>
    <row r="65" spans="4:13" s="112" customFormat="1" ht="12.75">
      <c r="D65" s="205"/>
      <c r="E65" s="205"/>
      <c r="F65" s="205"/>
      <c r="G65" s="205"/>
      <c r="H65" s="205"/>
      <c r="I65" s="205"/>
      <c r="J65" s="205"/>
      <c r="K65" s="205"/>
      <c r="L65" s="205"/>
      <c r="M65" s="205"/>
    </row>
    <row r="66" spans="4:13" s="112" customFormat="1" ht="12.75">
      <c r="D66" s="205"/>
      <c r="E66" s="205"/>
      <c r="F66" s="205"/>
      <c r="G66" s="205"/>
      <c r="H66" s="205"/>
      <c r="I66" s="205"/>
      <c r="J66" s="205"/>
      <c r="K66" s="205"/>
      <c r="L66" s="205"/>
      <c r="M66" s="205"/>
    </row>
    <row r="67" spans="4:13" s="112" customFormat="1" ht="12.75">
      <c r="D67" s="205"/>
      <c r="E67" s="205"/>
      <c r="F67" s="205"/>
      <c r="G67" s="205"/>
      <c r="H67" s="205"/>
      <c r="I67" s="205"/>
      <c r="J67" s="205"/>
      <c r="K67" s="205"/>
      <c r="L67" s="205"/>
      <c r="M67" s="205"/>
    </row>
    <row r="68" spans="4:13" s="112" customFormat="1" ht="12.75">
      <c r="D68" s="205"/>
      <c r="E68" s="205"/>
      <c r="F68" s="205"/>
      <c r="G68" s="205"/>
      <c r="H68" s="205"/>
      <c r="I68" s="205"/>
      <c r="J68" s="205"/>
      <c r="K68" s="205"/>
      <c r="L68" s="205"/>
      <c r="M68" s="205"/>
    </row>
    <row r="69" spans="4:13" s="112" customFormat="1" ht="12.75">
      <c r="D69" s="205"/>
      <c r="E69" s="205"/>
      <c r="F69" s="205"/>
      <c r="G69" s="205"/>
      <c r="H69" s="205"/>
      <c r="I69" s="205"/>
      <c r="J69" s="205"/>
      <c r="K69" s="205"/>
      <c r="L69" s="205"/>
      <c r="M69" s="205"/>
    </row>
    <row r="70" spans="4:13" s="112" customFormat="1" ht="12.75">
      <c r="D70" s="205"/>
      <c r="E70" s="205"/>
      <c r="F70" s="205"/>
      <c r="G70" s="205"/>
      <c r="H70" s="205"/>
      <c r="I70" s="205"/>
      <c r="J70" s="205"/>
      <c r="K70" s="205"/>
      <c r="L70" s="205"/>
      <c r="M70" s="205"/>
    </row>
    <row r="71" spans="4:13" s="112" customFormat="1" ht="12.75">
      <c r="D71" s="205"/>
      <c r="E71" s="205"/>
      <c r="F71" s="205"/>
      <c r="G71" s="205"/>
      <c r="H71" s="205"/>
      <c r="I71" s="205"/>
      <c r="J71" s="205"/>
      <c r="K71" s="205"/>
      <c r="L71" s="205"/>
      <c r="M71" s="205"/>
    </row>
    <row r="72" spans="4:13" s="112" customFormat="1" ht="12.75">
      <c r="D72" s="205"/>
      <c r="E72" s="205"/>
      <c r="F72" s="205"/>
      <c r="G72" s="205"/>
      <c r="H72" s="205"/>
      <c r="I72" s="205"/>
      <c r="J72" s="205"/>
      <c r="K72" s="205"/>
      <c r="L72" s="205"/>
      <c r="M72" s="205"/>
    </row>
    <row r="73" spans="4:13" s="112" customFormat="1" ht="12.75">
      <c r="D73" s="205"/>
      <c r="E73" s="205"/>
      <c r="F73" s="205"/>
      <c r="G73" s="205"/>
      <c r="H73" s="205"/>
      <c r="I73" s="205"/>
      <c r="J73" s="205"/>
      <c r="K73" s="205"/>
      <c r="L73" s="205"/>
      <c r="M73" s="205"/>
    </row>
    <row r="74" spans="4:13" s="112" customFormat="1" ht="12.75">
      <c r="D74" s="205"/>
      <c r="E74" s="205"/>
      <c r="F74" s="205"/>
      <c r="G74" s="205"/>
      <c r="H74" s="205"/>
      <c r="I74" s="205"/>
      <c r="J74" s="205"/>
      <c r="K74" s="205"/>
      <c r="L74" s="205"/>
      <c r="M74" s="205"/>
    </row>
    <row r="75" spans="4:13" s="112" customFormat="1" ht="12.75">
      <c r="D75" s="205"/>
      <c r="E75" s="205"/>
      <c r="F75" s="205"/>
      <c r="G75" s="205"/>
      <c r="H75" s="205"/>
      <c r="I75" s="205"/>
      <c r="J75" s="205"/>
      <c r="K75" s="205"/>
      <c r="L75" s="205"/>
      <c r="M75" s="205"/>
    </row>
    <row r="76" spans="4:13" s="112" customFormat="1" ht="12.75">
      <c r="D76" s="205"/>
      <c r="E76" s="205"/>
      <c r="F76" s="205"/>
      <c r="G76" s="205"/>
      <c r="H76" s="205"/>
      <c r="I76" s="205"/>
      <c r="J76" s="205"/>
      <c r="K76" s="205"/>
      <c r="L76" s="205"/>
      <c r="M76" s="205"/>
    </row>
    <row r="77" spans="4:13" s="112" customFormat="1" ht="12.75">
      <c r="D77" s="205"/>
      <c r="E77" s="205"/>
      <c r="F77" s="205"/>
      <c r="G77" s="205"/>
      <c r="H77" s="205"/>
      <c r="I77" s="205"/>
      <c r="J77" s="205"/>
      <c r="K77" s="205"/>
      <c r="L77" s="205"/>
      <c r="M77" s="205"/>
    </row>
    <row r="78" spans="4:13" s="112" customFormat="1" ht="12.75">
      <c r="D78" s="205"/>
      <c r="E78" s="205"/>
      <c r="F78" s="205"/>
      <c r="G78" s="205"/>
      <c r="H78" s="205"/>
      <c r="I78" s="205"/>
      <c r="J78" s="205"/>
      <c r="K78" s="205"/>
      <c r="L78" s="205"/>
      <c r="M78" s="205"/>
    </row>
    <row r="79" spans="4:13" s="112" customFormat="1" ht="12.75">
      <c r="D79" s="205"/>
      <c r="E79" s="205"/>
      <c r="F79" s="205"/>
      <c r="G79" s="205"/>
      <c r="H79" s="205"/>
      <c r="I79" s="205"/>
      <c r="J79" s="205"/>
      <c r="K79" s="205"/>
      <c r="L79" s="205"/>
      <c r="M79" s="205"/>
    </row>
    <row r="80" spans="4:13" s="112" customFormat="1" ht="12.75">
      <c r="D80" s="205"/>
      <c r="E80" s="205"/>
      <c r="F80" s="205"/>
      <c r="G80" s="205"/>
      <c r="H80" s="205"/>
      <c r="I80" s="205"/>
      <c r="J80" s="205"/>
      <c r="K80" s="205"/>
      <c r="L80" s="205"/>
      <c r="M80" s="205"/>
    </row>
    <row r="81" spans="4:13" s="112" customFormat="1" ht="12.75">
      <c r="D81" s="205"/>
      <c r="E81" s="205"/>
      <c r="F81" s="205"/>
      <c r="G81" s="205"/>
      <c r="H81" s="205"/>
      <c r="I81" s="205"/>
      <c r="J81" s="205"/>
      <c r="K81" s="205"/>
      <c r="L81" s="205"/>
      <c r="M81" s="205"/>
    </row>
    <row r="82" spans="4:13" s="112" customFormat="1" ht="12.75">
      <c r="D82" s="205"/>
      <c r="E82" s="205"/>
      <c r="F82" s="205"/>
      <c r="G82" s="205"/>
      <c r="H82" s="205"/>
      <c r="I82" s="205"/>
      <c r="J82" s="205"/>
      <c r="K82" s="205"/>
      <c r="L82" s="205"/>
      <c r="M82" s="205"/>
    </row>
    <row r="83" spans="4:13" s="112" customFormat="1" ht="12.75">
      <c r="D83" s="205"/>
      <c r="E83" s="205"/>
      <c r="F83" s="205"/>
      <c r="G83" s="205"/>
      <c r="H83" s="205"/>
      <c r="I83" s="205"/>
      <c r="J83" s="205"/>
      <c r="K83" s="205"/>
      <c r="L83" s="205"/>
      <c r="M83" s="205"/>
    </row>
    <row r="84" spans="4:13" s="112" customFormat="1" ht="12.75">
      <c r="D84" s="205"/>
      <c r="E84" s="205"/>
      <c r="F84" s="205"/>
      <c r="G84" s="205"/>
      <c r="H84" s="205"/>
      <c r="I84" s="205"/>
      <c r="J84" s="205"/>
      <c r="K84" s="205"/>
      <c r="L84" s="205"/>
      <c r="M84" s="205"/>
    </row>
    <row r="85" spans="4:13" s="112" customFormat="1" ht="12.75">
      <c r="D85" s="205"/>
      <c r="E85" s="205"/>
      <c r="F85" s="205"/>
      <c r="G85" s="205"/>
      <c r="H85" s="205"/>
      <c r="I85" s="205"/>
      <c r="J85" s="205"/>
      <c r="K85" s="205"/>
      <c r="L85" s="205"/>
      <c r="M85" s="205"/>
    </row>
    <row r="86" spans="4:13" s="112" customFormat="1" ht="12.75">
      <c r="D86" s="205"/>
      <c r="E86" s="205"/>
      <c r="F86" s="205"/>
      <c r="G86" s="205"/>
      <c r="H86" s="205"/>
      <c r="I86" s="205"/>
      <c r="J86" s="205"/>
      <c r="K86" s="205"/>
      <c r="L86" s="205"/>
      <c r="M86" s="205"/>
    </row>
    <row r="87" spans="4:13" s="112" customFormat="1" ht="12.75">
      <c r="D87" s="205"/>
      <c r="E87" s="205"/>
      <c r="F87" s="205"/>
      <c r="G87" s="205"/>
      <c r="H87" s="205"/>
      <c r="I87" s="205"/>
      <c r="J87" s="205"/>
      <c r="K87" s="205"/>
      <c r="L87" s="205"/>
      <c r="M87" s="205"/>
    </row>
    <row r="88" spans="4:13" s="112" customFormat="1" ht="12.75">
      <c r="D88" s="205"/>
      <c r="E88" s="205"/>
      <c r="F88" s="205"/>
      <c r="G88" s="205"/>
      <c r="H88" s="205"/>
      <c r="I88" s="205"/>
      <c r="J88" s="205"/>
      <c r="K88" s="205"/>
      <c r="L88" s="205"/>
      <c r="M88" s="205"/>
    </row>
    <row r="89" spans="4:13" s="112" customFormat="1" ht="12.75">
      <c r="D89" s="205"/>
      <c r="E89" s="205"/>
      <c r="F89" s="205"/>
      <c r="G89" s="205"/>
      <c r="H89" s="205"/>
      <c r="I89" s="205"/>
      <c r="J89" s="205"/>
      <c r="K89" s="205"/>
      <c r="L89" s="205"/>
      <c r="M89" s="205"/>
    </row>
    <row r="90" spans="4:13" s="112" customFormat="1" ht="12.75">
      <c r="D90" s="205"/>
      <c r="E90" s="205"/>
      <c r="F90" s="205"/>
      <c r="G90" s="205"/>
      <c r="H90" s="205"/>
      <c r="I90" s="205"/>
      <c r="J90" s="205"/>
      <c r="K90" s="205"/>
      <c r="L90" s="205"/>
      <c r="M90" s="205"/>
    </row>
    <row r="91" spans="4:13" s="112" customFormat="1" ht="12.75">
      <c r="D91" s="205"/>
      <c r="E91" s="205"/>
      <c r="F91" s="205"/>
      <c r="G91" s="205"/>
      <c r="H91" s="205"/>
      <c r="I91" s="205"/>
      <c r="J91" s="205"/>
      <c r="K91" s="205"/>
      <c r="L91" s="205"/>
      <c r="M91" s="205"/>
    </row>
    <row r="92" spans="4:13" s="112" customFormat="1" ht="12.75">
      <c r="D92" s="205"/>
      <c r="E92" s="205"/>
      <c r="F92" s="205"/>
      <c r="G92" s="205"/>
      <c r="H92" s="205"/>
      <c r="I92" s="205"/>
      <c r="J92" s="205"/>
      <c r="K92" s="205"/>
      <c r="L92" s="205"/>
      <c r="M92" s="205"/>
    </row>
    <row r="93" spans="4:13" s="112" customFormat="1" ht="12.75">
      <c r="D93" s="205"/>
      <c r="E93" s="205"/>
      <c r="F93" s="205"/>
      <c r="G93" s="205"/>
      <c r="H93" s="205"/>
      <c r="I93" s="205"/>
      <c r="J93" s="205"/>
      <c r="K93" s="205"/>
      <c r="L93" s="205"/>
      <c r="M93" s="205"/>
    </row>
    <row r="94" spans="4:13" s="112" customFormat="1" ht="12.75">
      <c r="D94" s="205"/>
      <c r="E94" s="205"/>
      <c r="F94" s="205"/>
      <c r="G94" s="205"/>
      <c r="H94" s="205"/>
      <c r="I94" s="205"/>
      <c r="J94" s="205"/>
      <c r="K94" s="205"/>
      <c r="L94" s="205"/>
      <c r="M94" s="205"/>
    </row>
    <row r="95" spans="4:13" s="112" customFormat="1" ht="12.75">
      <c r="D95" s="205"/>
      <c r="E95" s="205"/>
      <c r="F95" s="205"/>
      <c r="G95" s="205"/>
      <c r="H95" s="205"/>
      <c r="I95" s="205"/>
      <c r="J95" s="205"/>
      <c r="K95" s="205"/>
      <c r="L95" s="205"/>
      <c r="M95" s="205"/>
    </row>
    <row r="96" spans="4:13" s="112" customFormat="1" ht="12.75">
      <c r="D96" s="205"/>
      <c r="E96" s="205"/>
      <c r="F96" s="205"/>
      <c r="G96" s="205"/>
      <c r="H96" s="205"/>
      <c r="I96" s="205"/>
      <c r="J96" s="205"/>
      <c r="K96" s="205"/>
      <c r="L96" s="205"/>
      <c r="M96" s="205"/>
    </row>
    <row r="97" spans="4:13" s="112" customFormat="1" ht="12.75">
      <c r="D97" s="205"/>
      <c r="E97" s="205"/>
      <c r="F97" s="205"/>
      <c r="G97" s="205"/>
      <c r="H97" s="205"/>
      <c r="I97" s="205"/>
      <c r="J97" s="205"/>
      <c r="K97" s="205"/>
      <c r="L97" s="205"/>
      <c r="M97" s="205"/>
    </row>
    <row r="98" spans="4:13" s="112" customFormat="1" ht="12.75">
      <c r="D98" s="205"/>
      <c r="E98" s="205"/>
      <c r="F98" s="205"/>
      <c r="G98" s="205"/>
      <c r="H98" s="205"/>
      <c r="I98" s="205"/>
      <c r="J98" s="205"/>
      <c r="K98" s="205"/>
      <c r="L98" s="205"/>
      <c r="M98" s="205"/>
    </row>
    <row r="99" spans="4:13" s="112" customFormat="1" ht="12.75">
      <c r="D99" s="205"/>
      <c r="E99" s="205"/>
      <c r="F99" s="205"/>
      <c r="G99" s="205"/>
      <c r="H99" s="205"/>
      <c r="I99" s="205"/>
      <c r="J99" s="205"/>
      <c r="K99" s="205"/>
      <c r="L99" s="205"/>
      <c r="M99" s="205"/>
    </row>
    <row r="100" spans="4:13" s="112" customFormat="1" ht="12.75">
      <c r="D100" s="205"/>
      <c r="E100" s="205"/>
      <c r="F100" s="205"/>
      <c r="G100" s="205"/>
      <c r="H100" s="205"/>
      <c r="I100" s="205"/>
      <c r="J100" s="205"/>
      <c r="K100" s="205"/>
      <c r="L100" s="205"/>
      <c r="M100" s="205"/>
    </row>
    <row r="101" spans="4:13" s="112" customFormat="1" ht="12.75">
      <c r="D101" s="205"/>
      <c r="E101" s="205"/>
      <c r="F101" s="205"/>
      <c r="G101" s="205"/>
      <c r="H101" s="205"/>
      <c r="I101" s="205"/>
      <c r="J101" s="205"/>
      <c r="K101" s="205"/>
      <c r="L101" s="205"/>
      <c r="M101" s="205"/>
    </row>
    <row r="102" spans="4:13" s="112" customFormat="1" ht="12.75">
      <c r="D102" s="205"/>
      <c r="E102" s="205"/>
      <c r="F102" s="205"/>
      <c r="G102" s="205"/>
      <c r="H102" s="205"/>
      <c r="I102" s="205"/>
      <c r="J102" s="205"/>
      <c r="K102" s="205"/>
      <c r="L102" s="205"/>
      <c r="M102" s="205"/>
    </row>
    <row r="103" spans="4:13" s="112" customFormat="1" ht="12.75">
      <c r="D103" s="205"/>
      <c r="E103" s="205"/>
      <c r="F103" s="205"/>
      <c r="G103" s="205"/>
      <c r="H103" s="205"/>
      <c r="I103" s="205"/>
      <c r="J103" s="205"/>
      <c r="K103" s="205"/>
      <c r="L103" s="205"/>
      <c r="M103" s="205"/>
    </row>
    <row r="104" spans="4:13" s="112" customFormat="1" ht="12.75">
      <c r="D104" s="205"/>
      <c r="E104" s="205"/>
      <c r="F104" s="205"/>
      <c r="G104" s="205"/>
      <c r="H104" s="205"/>
      <c r="I104" s="205"/>
      <c r="J104" s="205"/>
      <c r="K104" s="205"/>
      <c r="L104" s="205"/>
      <c r="M104" s="205"/>
    </row>
    <row r="105" spans="4:13" s="112" customFormat="1" ht="12.75">
      <c r="D105" s="205"/>
      <c r="E105" s="205"/>
      <c r="F105" s="205"/>
      <c r="G105" s="205"/>
      <c r="H105" s="205"/>
      <c r="I105" s="205"/>
      <c r="J105" s="205"/>
      <c r="K105" s="205"/>
      <c r="L105" s="205"/>
      <c r="M105" s="205"/>
    </row>
    <row r="106" spans="4:13" s="112" customFormat="1" ht="12.75">
      <c r="D106" s="205"/>
      <c r="E106" s="205"/>
      <c r="F106" s="205"/>
      <c r="G106" s="205"/>
      <c r="H106" s="205"/>
      <c r="I106" s="205"/>
      <c r="J106" s="205"/>
      <c r="K106" s="205"/>
      <c r="L106" s="205"/>
      <c r="M106" s="205"/>
    </row>
    <row r="107" spans="4:13" s="112" customFormat="1" ht="12.75">
      <c r="D107" s="205"/>
      <c r="E107" s="205"/>
      <c r="F107" s="205"/>
      <c r="G107" s="205"/>
      <c r="H107" s="205"/>
      <c r="I107" s="205"/>
      <c r="J107" s="205"/>
      <c r="K107" s="205"/>
      <c r="L107" s="205"/>
      <c r="M107" s="205"/>
    </row>
    <row r="108" spans="4:13" s="112" customFormat="1" ht="12.75">
      <c r="D108" s="205"/>
      <c r="E108" s="205"/>
      <c r="F108" s="205"/>
      <c r="G108" s="205"/>
      <c r="H108" s="205"/>
      <c r="I108" s="205"/>
      <c r="J108" s="205"/>
      <c r="K108" s="205"/>
      <c r="L108" s="205"/>
      <c r="M108" s="205"/>
    </row>
    <row r="109" spans="4:13" s="112" customFormat="1" ht="12.75">
      <c r="D109" s="205"/>
      <c r="E109" s="205"/>
      <c r="F109" s="205"/>
      <c r="G109" s="205"/>
      <c r="H109" s="205"/>
      <c r="I109" s="205"/>
      <c r="J109" s="205"/>
      <c r="K109" s="205"/>
      <c r="L109" s="205"/>
      <c r="M109" s="205"/>
    </row>
    <row r="110" spans="4:13" s="112" customFormat="1" ht="12.75">
      <c r="D110" s="205"/>
      <c r="E110" s="205"/>
      <c r="F110" s="205"/>
      <c r="G110" s="205"/>
      <c r="H110" s="205"/>
      <c r="I110" s="205"/>
      <c r="J110" s="205"/>
      <c r="K110" s="205"/>
      <c r="L110" s="205"/>
      <c r="M110" s="205"/>
    </row>
    <row r="111" spans="4:13" s="112" customFormat="1" ht="12.75">
      <c r="D111" s="205"/>
      <c r="E111" s="205"/>
      <c r="F111" s="205"/>
      <c r="G111" s="205"/>
      <c r="H111" s="205"/>
      <c r="I111" s="205"/>
      <c r="J111" s="205"/>
      <c r="K111" s="205"/>
      <c r="L111" s="205"/>
      <c r="M111" s="205"/>
    </row>
    <row r="112" spans="4:13" s="112" customFormat="1" ht="12.75">
      <c r="D112" s="205"/>
      <c r="E112" s="205"/>
      <c r="F112" s="205"/>
      <c r="G112" s="205"/>
      <c r="H112" s="205"/>
      <c r="I112" s="205"/>
      <c r="J112" s="205"/>
      <c r="K112" s="205"/>
      <c r="L112" s="205"/>
      <c r="M112" s="205"/>
    </row>
    <row r="113" spans="4:13" s="112" customFormat="1" ht="12.75">
      <c r="D113" s="205"/>
      <c r="E113" s="205"/>
      <c r="F113" s="205"/>
      <c r="G113" s="205"/>
      <c r="H113" s="205"/>
      <c r="I113" s="205"/>
      <c r="J113" s="205"/>
      <c r="K113" s="205"/>
      <c r="L113" s="205"/>
      <c r="M113" s="205"/>
    </row>
    <row r="114" spans="4:13" s="112" customFormat="1" ht="12.75">
      <c r="D114" s="205"/>
      <c r="E114" s="205"/>
      <c r="F114" s="205"/>
      <c r="G114" s="205"/>
      <c r="H114" s="205"/>
      <c r="I114" s="205"/>
      <c r="J114" s="205"/>
      <c r="K114" s="205"/>
      <c r="L114" s="205"/>
      <c r="M114" s="205"/>
    </row>
    <row r="115" spans="4:13" s="112" customFormat="1" ht="12.75">
      <c r="D115" s="205"/>
      <c r="E115" s="205"/>
      <c r="F115" s="205"/>
      <c r="G115" s="205"/>
      <c r="H115" s="205"/>
      <c r="I115" s="205"/>
      <c r="J115" s="205"/>
      <c r="K115" s="205"/>
      <c r="L115" s="205"/>
      <c r="M115" s="205"/>
    </row>
    <row r="116" spans="4:13" s="112" customFormat="1" ht="12.75">
      <c r="D116" s="205"/>
      <c r="E116" s="205"/>
      <c r="F116" s="205"/>
      <c r="G116" s="205"/>
      <c r="H116" s="205"/>
      <c r="I116" s="205"/>
      <c r="J116" s="205"/>
      <c r="K116" s="205"/>
      <c r="L116" s="205"/>
      <c r="M116" s="205"/>
    </row>
    <row r="117" spans="4:13" s="112" customFormat="1" ht="12.75">
      <c r="D117" s="205"/>
      <c r="E117" s="205"/>
      <c r="F117" s="205"/>
      <c r="G117" s="205"/>
      <c r="H117" s="205"/>
      <c r="I117" s="205"/>
      <c r="J117" s="205"/>
      <c r="K117" s="205"/>
      <c r="L117" s="205"/>
      <c r="M117" s="205"/>
    </row>
    <row r="118" spans="4:13" s="112" customFormat="1" ht="12.75">
      <c r="D118" s="205"/>
      <c r="E118" s="205"/>
      <c r="F118" s="205"/>
      <c r="G118" s="205"/>
      <c r="H118" s="205"/>
      <c r="I118" s="205"/>
      <c r="J118" s="205"/>
      <c r="K118" s="205"/>
      <c r="L118" s="205"/>
      <c r="M118" s="205"/>
    </row>
    <row r="119" spans="4:13" s="112" customFormat="1" ht="12.75">
      <c r="D119" s="205"/>
      <c r="E119" s="205"/>
      <c r="F119" s="205"/>
      <c r="G119" s="205"/>
      <c r="H119" s="205"/>
      <c r="I119" s="205"/>
      <c r="J119" s="205"/>
      <c r="K119" s="205"/>
      <c r="L119" s="205"/>
      <c r="M119" s="205"/>
    </row>
    <row r="120" spans="4:13" s="112" customFormat="1" ht="12.75">
      <c r="D120" s="205"/>
      <c r="E120" s="205"/>
      <c r="F120" s="205"/>
      <c r="G120" s="205"/>
      <c r="H120" s="205"/>
      <c r="I120" s="205"/>
      <c r="J120" s="205"/>
      <c r="K120" s="205"/>
      <c r="L120" s="205"/>
      <c r="M120" s="205"/>
    </row>
    <row r="121" spans="4:13" s="112" customFormat="1" ht="12.75">
      <c r="D121" s="205"/>
      <c r="E121" s="205"/>
      <c r="F121" s="205"/>
      <c r="G121" s="205"/>
      <c r="H121" s="205"/>
      <c r="I121" s="205"/>
      <c r="J121" s="205"/>
      <c r="K121" s="205"/>
      <c r="L121" s="205"/>
      <c r="M121" s="205"/>
    </row>
    <row r="122" spans="4:13" s="112" customFormat="1" ht="12.75">
      <c r="D122" s="205"/>
      <c r="E122" s="205"/>
      <c r="F122" s="205"/>
      <c r="G122" s="205"/>
      <c r="H122" s="205"/>
      <c r="I122" s="205"/>
      <c r="J122" s="205"/>
      <c r="K122" s="205"/>
      <c r="L122" s="205"/>
      <c r="M122" s="205"/>
    </row>
    <row r="123" spans="4:13" s="112" customFormat="1" ht="12.75">
      <c r="D123" s="205"/>
      <c r="E123" s="205"/>
      <c r="F123" s="205"/>
      <c r="G123" s="205"/>
      <c r="H123" s="205"/>
      <c r="I123" s="205"/>
      <c r="J123" s="205"/>
      <c r="K123" s="205"/>
      <c r="L123" s="205"/>
      <c r="M123" s="205"/>
    </row>
    <row r="124" spans="4:13" s="112" customFormat="1" ht="12.75">
      <c r="D124" s="205"/>
      <c r="E124" s="205"/>
      <c r="F124" s="205"/>
      <c r="G124" s="205"/>
      <c r="H124" s="205"/>
      <c r="I124" s="205"/>
      <c r="J124" s="205"/>
      <c r="K124" s="205"/>
      <c r="L124" s="205"/>
      <c r="M124" s="205"/>
    </row>
    <row r="125" spans="4:13" s="112" customFormat="1" ht="12.75">
      <c r="D125" s="205"/>
      <c r="E125" s="205"/>
      <c r="F125" s="205"/>
      <c r="G125" s="205"/>
      <c r="H125" s="205"/>
      <c r="I125" s="205"/>
      <c r="J125" s="205"/>
      <c r="K125" s="205"/>
      <c r="L125" s="205"/>
      <c r="M125" s="205"/>
    </row>
    <row r="126" spans="4:13" s="112" customFormat="1" ht="12.75">
      <c r="D126" s="205"/>
      <c r="E126" s="205"/>
      <c r="F126" s="205"/>
      <c r="G126" s="205"/>
      <c r="H126" s="205"/>
      <c r="I126" s="205"/>
      <c r="J126" s="205"/>
      <c r="K126" s="205"/>
      <c r="L126" s="205"/>
      <c r="M126" s="205"/>
    </row>
    <row r="127" spans="4:13" s="112" customFormat="1" ht="12.75">
      <c r="D127" s="205"/>
      <c r="E127" s="205"/>
      <c r="F127" s="205"/>
      <c r="G127" s="205"/>
      <c r="H127" s="205"/>
      <c r="I127" s="205"/>
      <c r="J127" s="205"/>
      <c r="K127" s="205"/>
      <c r="L127" s="205"/>
      <c r="M127" s="205"/>
    </row>
    <row r="128" spans="4:13" s="112" customFormat="1" ht="12.75">
      <c r="D128" s="205"/>
      <c r="E128" s="205"/>
      <c r="F128" s="205"/>
      <c r="G128" s="205"/>
      <c r="H128" s="205"/>
      <c r="I128" s="205"/>
      <c r="J128" s="205"/>
      <c r="K128" s="205"/>
      <c r="L128" s="205"/>
      <c r="M128" s="205"/>
    </row>
    <row r="129" spans="4:13" s="112" customFormat="1" ht="12.75">
      <c r="D129" s="205"/>
      <c r="E129" s="205"/>
      <c r="F129" s="205"/>
      <c r="G129" s="205"/>
      <c r="H129" s="205"/>
      <c r="I129" s="205"/>
      <c r="J129" s="205"/>
      <c r="K129" s="205"/>
      <c r="L129" s="205"/>
      <c r="M129" s="205"/>
    </row>
    <row r="130" spans="4:13" s="112" customFormat="1" ht="12.75">
      <c r="D130" s="205"/>
      <c r="E130" s="205"/>
      <c r="F130" s="205"/>
      <c r="G130" s="205"/>
      <c r="H130" s="205"/>
      <c r="I130" s="205"/>
      <c r="J130" s="205"/>
      <c r="K130" s="205"/>
      <c r="L130" s="205"/>
      <c r="M130" s="205"/>
    </row>
    <row r="131" spans="4:13" s="112" customFormat="1" ht="12.75">
      <c r="D131" s="205"/>
      <c r="E131" s="205"/>
      <c r="F131" s="205"/>
      <c r="G131" s="205"/>
      <c r="H131" s="205"/>
      <c r="I131" s="205"/>
      <c r="J131" s="205"/>
      <c r="K131" s="205"/>
      <c r="L131" s="205"/>
      <c r="M131" s="205"/>
    </row>
    <row r="132" spans="4:13" s="112" customFormat="1" ht="12.75">
      <c r="D132" s="205"/>
      <c r="E132" s="205"/>
      <c r="F132" s="205"/>
      <c r="G132" s="205"/>
      <c r="H132" s="205"/>
      <c r="I132" s="205"/>
      <c r="J132" s="205"/>
      <c r="K132" s="205"/>
      <c r="L132" s="205"/>
      <c r="M132" s="205"/>
    </row>
    <row r="133" spans="4:13" s="112" customFormat="1" ht="12.75">
      <c r="D133" s="205"/>
      <c r="E133" s="205"/>
      <c r="F133" s="205"/>
      <c r="G133" s="205"/>
      <c r="H133" s="205"/>
      <c r="I133" s="205"/>
      <c r="J133" s="205"/>
      <c r="K133" s="205"/>
      <c r="L133" s="205"/>
      <c r="M133" s="205"/>
    </row>
    <row r="134" spans="4:13" s="112" customFormat="1" ht="12.75">
      <c r="D134" s="205"/>
      <c r="E134" s="205"/>
      <c r="F134" s="205"/>
      <c r="G134" s="205"/>
      <c r="H134" s="205"/>
      <c r="I134" s="205"/>
      <c r="J134" s="205"/>
      <c r="K134" s="205"/>
      <c r="L134" s="205"/>
      <c r="M134" s="205"/>
    </row>
    <row r="135" spans="4:13" s="112" customFormat="1" ht="12.75">
      <c r="D135" s="205"/>
      <c r="E135" s="205"/>
      <c r="F135" s="205"/>
      <c r="G135" s="205"/>
      <c r="H135" s="205"/>
      <c r="I135" s="205"/>
      <c r="J135" s="205"/>
      <c r="K135" s="205"/>
      <c r="L135" s="205"/>
      <c r="M135" s="205"/>
    </row>
    <row r="136" spans="4:13" s="112" customFormat="1" ht="12.75">
      <c r="D136" s="205"/>
      <c r="E136" s="205"/>
      <c r="F136" s="205"/>
      <c r="G136" s="205"/>
      <c r="H136" s="205"/>
      <c r="I136" s="205"/>
      <c r="J136" s="205"/>
      <c r="K136" s="205"/>
      <c r="L136" s="205"/>
      <c r="M136" s="205"/>
    </row>
    <row r="137" spans="4:13" s="112" customFormat="1" ht="12.75">
      <c r="D137" s="205"/>
      <c r="E137" s="205"/>
      <c r="F137" s="205"/>
      <c r="G137" s="205"/>
      <c r="H137" s="205"/>
      <c r="I137" s="205"/>
      <c r="J137" s="205"/>
      <c r="K137" s="205"/>
      <c r="L137" s="205"/>
      <c r="M137" s="205"/>
    </row>
    <row r="138" spans="4:13" s="112" customFormat="1" ht="12.75">
      <c r="D138" s="205"/>
      <c r="E138" s="205"/>
      <c r="F138" s="205"/>
      <c r="G138" s="205"/>
      <c r="H138" s="205"/>
      <c r="I138" s="205"/>
      <c r="J138" s="205"/>
      <c r="K138" s="205"/>
      <c r="L138" s="205"/>
      <c r="M138" s="205"/>
    </row>
    <row r="139" spans="4:13" s="112" customFormat="1" ht="12.75">
      <c r="D139" s="205"/>
      <c r="E139" s="205"/>
      <c r="F139" s="205"/>
      <c r="G139" s="205"/>
      <c r="H139" s="205"/>
      <c r="I139" s="205"/>
      <c r="J139" s="205"/>
      <c r="K139" s="205"/>
      <c r="L139" s="205"/>
      <c r="M139" s="205"/>
    </row>
    <row r="140" spans="4:13" s="112" customFormat="1" ht="12.75">
      <c r="D140" s="205"/>
      <c r="E140" s="205"/>
      <c r="F140" s="205"/>
      <c r="G140" s="205"/>
      <c r="H140" s="205"/>
      <c r="I140" s="205"/>
      <c r="J140" s="205"/>
      <c r="K140" s="205"/>
      <c r="L140" s="205"/>
      <c r="M140" s="205"/>
    </row>
    <row r="141" spans="4:13" s="112" customFormat="1" ht="12.75">
      <c r="D141" s="205"/>
      <c r="E141" s="205"/>
      <c r="F141" s="205"/>
      <c r="G141" s="205"/>
      <c r="H141" s="205"/>
      <c r="I141" s="205"/>
      <c r="J141" s="205"/>
      <c r="K141" s="205"/>
      <c r="L141" s="205"/>
      <c r="M141" s="205"/>
    </row>
    <row r="142" spans="4:13" s="112" customFormat="1" ht="12.75">
      <c r="D142" s="205"/>
      <c r="E142" s="205"/>
      <c r="F142" s="205"/>
      <c r="G142" s="205"/>
      <c r="H142" s="205"/>
      <c r="I142" s="205"/>
      <c r="J142" s="205"/>
      <c r="K142" s="205"/>
      <c r="L142" s="205"/>
      <c r="M142" s="205"/>
    </row>
    <row r="143" spans="4:13" s="112" customFormat="1" ht="12.75">
      <c r="D143" s="205"/>
      <c r="E143" s="205"/>
      <c r="F143" s="205"/>
      <c r="G143" s="205"/>
      <c r="H143" s="205"/>
      <c r="I143" s="205"/>
      <c r="J143" s="205"/>
      <c r="K143" s="205"/>
      <c r="L143" s="205"/>
      <c r="M143" s="205"/>
    </row>
    <row r="144" spans="4:13" s="112" customFormat="1" ht="12.75">
      <c r="D144" s="205"/>
      <c r="E144" s="205"/>
      <c r="F144" s="205"/>
      <c r="G144" s="205"/>
      <c r="H144" s="205"/>
      <c r="I144" s="205"/>
      <c r="J144" s="205"/>
      <c r="K144" s="205"/>
      <c r="L144" s="205"/>
      <c r="M144" s="205"/>
    </row>
    <row r="145" spans="4:13" s="112" customFormat="1" ht="12.75">
      <c r="D145" s="205"/>
      <c r="E145" s="205"/>
      <c r="F145" s="205"/>
      <c r="G145" s="205"/>
      <c r="H145" s="205"/>
      <c r="I145" s="205"/>
      <c r="J145" s="205"/>
      <c r="K145" s="205"/>
      <c r="L145" s="205"/>
      <c r="M145" s="205"/>
    </row>
    <row r="146" spans="4:13" s="112" customFormat="1" ht="12.75">
      <c r="D146" s="205"/>
      <c r="E146" s="205"/>
      <c r="F146" s="205"/>
      <c r="G146" s="205"/>
      <c r="H146" s="205"/>
      <c r="I146" s="205"/>
      <c r="J146" s="205"/>
      <c r="K146" s="205"/>
      <c r="L146" s="205"/>
      <c r="M146" s="205"/>
    </row>
    <row r="147" spans="4:13" s="112" customFormat="1" ht="12.75">
      <c r="D147" s="205"/>
      <c r="E147" s="205"/>
      <c r="F147" s="205"/>
      <c r="G147" s="205"/>
      <c r="H147" s="205"/>
      <c r="I147" s="205"/>
      <c r="J147" s="205"/>
      <c r="K147" s="205"/>
      <c r="L147" s="205"/>
      <c r="M147" s="205"/>
    </row>
    <row r="148" spans="4:13" s="112" customFormat="1" ht="12.75">
      <c r="D148" s="205"/>
      <c r="E148" s="205"/>
      <c r="F148" s="205"/>
      <c r="G148" s="205"/>
      <c r="H148" s="205"/>
      <c r="I148" s="205"/>
      <c r="J148" s="205"/>
      <c r="K148" s="205"/>
      <c r="L148" s="205"/>
      <c r="M148" s="205"/>
    </row>
    <row r="149" spans="4:13" s="112" customFormat="1" ht="12.75">
      <c r="D149" s="205"/>
      <c r="E149" s="205"/>
      <c r="F149" s="205"/>
      <c r="G149" s="205"/>
      <c r="H149" s="205"/>
      <c r="I149" s="205"/>
      <c r="J149" s="205"/>
      <c r="K149" s="205"/>
      <c r="L149" s="205"/>
      <c r="M149" s="205"/>
    </row>
    <row r="150" spans="4:13" s="112" customFormat="1" ht="12.75">
      <c r="D150" s="205"/>
      <c r="E150" s="205"/>
      <c r="F150" s="205"/>
      <c r="G150" s="205"/>
      <c r="H150" s="205"/>
      <c r="I150" s="205"/>
      <c r="J150" s="205"/>
      <c r="K150" s="205"/>
      <c r="L150" s="205"/>
      <c r="M150" s="205"/>
    </row>
    <row r="151" spans="4:13" s="112" customFormat="1" ht="12.75">
      <c r="D151" s="205"/>
      <c r="E151" s="205"/>
      <c r="F151" s="205"/>
      <c r="G151" s="205"/>
      <c r="H151" s="205"/>
      <c r="I151" s="205"/>
      <c r="J151" s="205"/>
      <c r="K151" s="205"/>
      <c r="L151" s="205"/>
      <c r="M151" s="205"/>
    </row>
    <row r="152" spans="4:13" s="112" customFormat="1" ht="12.75">
      <c r="D152" s="205"/>
      <c r="E152" s="205"/>
      <c r="F152" s="205"/>
      <c r="G152" s="205"/>
      <c r="H152" s="205"/>
      <c r="I152" s="205"/>
      <c r="J152" s="205"/>
      <c r="K152" s="205"/>
      <c r="L152" s="205"/>
      <c r="M152" s="205"/>
    </row>
    <row r="153" spans="4:13" s="112" customFormat="1" ht="12.75">
      <c r="D153" s="205"/>
      <c r="E153" s="205"/>
      <c r="F153" s="205"/>
      <c r="G153" s="205"/>
      <c r="H153" s="205"/>
      <c r="I153" s="205"/>
      <c r="J153" s="205"/>
      <c r="K153" s="205"/>
      <c r="L153" s="205"/>
      <c r="M153" s="205"/>
    </row>
    <row r="154" spans="4:13" s="112" customFormat="1" ht="12.75">
      <c r="D154" s="205"/>
      <c r="E154" s="205"/>
      <c r="F154" s="205"/>
      <c r="G154" s="205"/>
      <c r="H154" s="205"/>
      <c r="I154" s="205"/>
      <c r="J154" s="205"/>
      <c r="K154" s="205"/>
      <c r="L154" s="205"/>
      <c r="M154" s="205"/>
    </row>
    <row r="155" spans="4:13" s="112" customFormat="1" ht="12.75">
      <c r="D155" s="205"/>
      <c r="E155" s="205"/>
      <c r="F155" s="205"/>
      <c r="G155" s="205"/>
      <c r="H155" s="205"/>
      <c r="I155" s="205"/>
      <c r="J155" s="205"/>
      <c r="K155" s="205"/>
      <c r="L155" s="205"/>
      <c r="M155" s="205"/>
    </row>
    <row r="156" spans="4:13" s="112" customFormat="1" ht="12.75">
      <c r="D156" s="205"/>
      <c r="E156" s="205"/>
      <c r="F156" s="205"/>
      <c r="G156" s="205"/>
      <c r="H156" s="205"/>
      <c r="I156" s="205"/>
      <c r="J156" s="205"/>
      <c r="K156" s="205"/>
      <c r="L156" s="205"/>
      <c r="M156" s="205"/>
    </row>
    <row r="157" spans="4:13" s="112" customFormat="1" ht="12.75">
      <c r="D157" s="205"/>
      <c r="E157" s="205"/>
      <c r="F157" s="205"/>
      <c r="G157" s="205"/>
      <c r="H157" s="205"/>
      <c r="I157" s="205"/>
      <c r="J157" s="205"/>
      <c r="K157" s="205"/>
      <c r="L157" s="205"/>
      <c r="M157" s="205"/>
    </row>
    <row r="158" spans="4:13" s="112" customFormat="1" ht="12.75">
      <c r="D158" s="205"/>
      <c r="E158" s="205"/>
      <c r="F158" s="205"/>
      <c r="G158" s="205"/>
      <c r="H158" s="205"/>
      <c r="I158" s="205"/>
      <c r="J158" s="205"/>
      <c r="K158" s="205"/>
      <c r="L158" s="205"/>
      <c r="M158" s="205"/>
    </row>
    <row r="159" spans="4:13" s="112" customFormat="1" ht="12.75">
      <c r="D159" s="205"/>
      <c r="E159" s="205"/>
      <c r="F159" s="205"/>
      <c r="G159" s="205"/>
      <c r="H159" s="205"/>
      <c r="I159" s="205"/>
      <c r="J159" s="205"/>
      <c r="K159" s="205"/>
      <c r="L159" s="205"/>
      <c r="M159" s="205"/>
    </row>
    <row r="160" spans="4:13" s="112" customFormat="1" ht="12.75">
      <c r="D160" s="205"/>
      <c r="E160" s="205"/>
      <c r="F160" s="205"/>
      <c r="G160" s="205"/>
      <c r="H160" s="205"/>
      <c r="I160" s="205"/>
      <c r="J160" s="205"/>
      <c r="K160" s="205"/>
      <c r="L160" s="205"/>
      <c r="M160" s="205"/>
    </row>
    <row r="161" spans="4:13" s="112" customFormat="1" ht="12.75">
      <c r="D161" s="205"/>
      <c r="E161" s="205"/>
      <c r="F161" s="205"/>
      <c r="G161" s="205"/>
      <c r="H161" s="205"/>
      <c r="I161" s="205"/>
      <c r="J161" s="205"/>
      <c r="K161" s="205"/>
      <c r="L161" s="205"/>
      <c r="M161" s="205"/>
    </row>
    <row r="162" spans="4:13" s="112" customFormat="1" ht="12.75">
      <c r="D162" s="205"/>
      <c r="E162" s="205"/>
      <c r="F162" s="205"/>
      <c r="G162" s="205"/>
      <c r="H162" s="205"/>
      <c r="I162" s="205"/>
      <c r="J162" s="205"/>
      <c r="K162" s="205"/>
      <c r="L162" s="205"/>
      <c r="M162" s="205"/>
    </row>
    <row r="163" spans="4:13" s="112" customFormat="1" ht="12.75">
      <c r="D163" s="205"/>
      <c r="E163" s="205"/>
      <c r="F163" s="205"/>
      <c r="G163" s="205"/>
      <c r="H163" s="205"/>
      <c r="I163" s="205"/>
      <c r="J163" s="205"/>
      <c r="K163" s="205"/>
      <c r="L163" s="205"/>
      <c r="M163" s="205"/>
    </row>
    <row r="164" spans="4:13" s="112" customFormat="1" ht="12.75">
      <c r="D164" s="205"/>
      <c r="E164" s="205"/>
      <c r="F164" s="205"/>
      <c r="G164" s="205"/>
      <c r="H164" s="205"/>
      <c r="I164" s="205"/>
      <c r="J164" s="205"/>
      <c r="K164" s="205"/>
      <c r="L164" s="205"/>
      <c r="M164" s="205"/>
    </row>
    <row r="165" spans="4:13" s="112" customFormat="1" ht="12.75">
      <c r="D165" s="205"/>
      <c r="E165" s="205"/>
      <c r="F165" s="205"/>
      <c r="G165" s="205"/>
      <c r="H165" s="205"/>
      <c r="I165" s="205"/>
      <c r="J165" s="205"/>
      <c r="K165" s="205"/>
      <c r="L165" s="205"/>
      <c r="M165" s="205"/>
    </row>
    <row r="166" spans="4:13" s="112" customFormat="1" ht="12.75">
      <c r="D166" s="205"/>
      <c r="E166" s="205"/>
      <c r="F166" s="205"/>
      <c r="G166" s="205"/>
      <c r="H166" s="205"/>
      <c r="I166" s="205"/>
      <c r="J166" s="205"/>
      <c r="K166" s="205"/>
      <c r="L166" s="205"/>
      <c r="M166" s="205"/>
    </row>
    <row r="167" spans="4:13" s="112" customFormat="1" ht="12.75">
      <c r="D167" s="205"/>
      <c r="E167" s="205"/>
      <c r="F167" s="205"/>
      <c r="G167" s="205"/>
      <c r="H167" s="205"/>
      <c r="I167" s="205"/>
      <c r="J167" s="205"/>
      <c r="K167" s="205"/>
      <c r="L167" s="205"/>
      <c r="M167" s="205"/>
    </row>
    <row r="168" spans="4:13" s="112" customFormat="1" ht="12.75">
      <c r="D168" s="205"/>
      <c r="E168" s="205"/>
      <c r="F168" s="205"/>
      <c r="G168" s="205"/>
      <c r="H168" s="205"/>
      <c r="I168" s="205"/>
      <c r="J168" s="205"/>
      <c r="K168" s="205"/>
      <c r="L168" s="205"/>
      <c r="M168" s="205"/>
    </row>
    <row r="169" spans="4:13" s="112" customFormat="1" ht="12.75">
      <c r="D169" s="205"/>
      <c r="E169" s="205"/>
      <c r="F169" s="205"/>
      <c r="G169" s="205"/>
      <c r="H169" s="205"/>
      <c r="I169" s="205"/>
      <c r="J169" s="205"/>
      <c r="K169" s="205"/>
      <c r="L169" s="205"/>
      <c r="M169" s="205"/>
    </row>
    <row r="170" spans="4:13" s="112" customFormat="1" ht="12.75">
      <c r="D170" s="205"/>
      <c r="E170" s="205"/>
      <c r="F170" s="205"/>
      <c r="G170" s="205"/>
      <c r="H170" s="205"/>
      <c r="I170" s="205"/>
      <c r="J170" s="205"/>
      <c r="K170" s="205"/>
      <c r="L170" s="205"/>
      <c r="M170" s="205"/>
    </row>
    <row r="171" spans="4:13" s="112" customFormat="1" ht="12.75">
      <c r="D171" s="205"/>
      <c r="E171" s="205"/>
      <c r="F171" s="205"/>
      <c r="G171" s="205"/>
      <c r="H171" s="205"/>
      <c r="I171" s="205"/>
      <c r="J171" s="205"/>
      <c r="K171" s="205"/>
      <c r="L171" s="205"/>
      <c r="M171" s="205"/>
    </row>
    <row r="172" spans="4:13" s="112" customFormat="1" ht="12.75">
      <c r="D172" s="205"/>
      <c r="E172" s="205"/>
      <c r="F172" s="205"/>
      <c r="G172" s="205"/>
      <c r="H172" s="205"/>
      <c r="I172" s="205"/>
      <c r="J172" s="205"/>
      <c r="K172" s="205"/>
      <c r="L172" s="205"/>
      <c r="M172" s="205"/>
    </row>
    <row r="173" spans="4:13" s="112" customFormat="1" ht="12.75">
      <c r="D173" s="205"/>
      <c r="E173" s="205"/>
      <c r="F173" s="205"/>
      <c r="G173" s="205"/>
      <c r="H173" s="205"/>
      <c r="I173" s="205"/>
      <c r="J173" s="205"/>
      <c r="K173" s="205"/>
      <c r="L173" s="205"/>
      <c r="M173" s="205"/>
    </row>
    <row r="174" spans="4:13" s="112" customFormat="1" ht="12.75">
      <c r="D174" s="205"/>
      <c r="E174" s="205"/>
      <c r="F174" s="205"/>
      <c r="G174" s="205"/>
      <c r="H174" s="205"/>
      <c r="I174" s="205"/>
      <c r="J174" s="205"/>
      <c r="K174" s="205"/>
      <c r="L174" s="205"/>
      <c r="M174" s="205"/>
    </row>
    <row r="175" spans="4:13" s="112" customFormat="1" ht="12.75">
      <c r="D175" s="205"/>
      <c r="E175" s="205"/>
      <c r="F175" s="205"/>
      <c r="G175" s="205"/>
      <c r="H175" s="205"/>
      <c r="I175" s="205"/>
      <c r="J175" s="205"/>
      <c r="K175" s="205"/>
      <c r="L175" s="205"/>
      <c r="M175" s="205"/>
    </row>
    <row r="176" spans="4:13" s="112" customFormat="1" ht="12.75">
      <c r="D176" s="205"/>
      <c r="E176" s="205"/>
      <c r="F176" s="205"/>
      <c r="G176" s="205"/>
      <c r="H176" s="205"/>
      <c r="I176" s="205"/>
      <c r="J176" s="205"/>
      <c r="K176" s="205"/>
      <c r="L176" s="205"/>
      <c r="M176" s="205"/>
    </row>
    <row r="177" spans="4:13" s="112" customFormat="1" ht="12.75">
      <c r="D177" s="205"/>
      <c r="E177" s="205"/>
      <c r="F177" s="205"/>
      <c r="G177" s="205"/>
      <c r="H177" s="205"/>
      <c r="I177" s="205"/>
      <c r="J177" s="205"/>
      <c r="K177" s="205"/>
      <c r="L177" s="205"/>
      <c r="M177" s="205"/>
    </row>
    <row r="178" spans="4:13" s="112" customFormat="1" ht="12.75">
      <c r="D178" s="205"/>
      <c r="E178" s="205"/>
      <c r="F178" s="205"/>
      <c r="G178" s="205"/>
      <c r="H178" s="205"/>
      <c r="I178" s="205"/>
      <c r="J178" s="205"/>
      <c r="K178" s="205"/>
      <c r="L178" s="205"/>
      <c r="M178" s="205"/>
    </row>
    <row r="179" spans="4:13" s="112" customFormat="1" ht="12.75">
      <c r="D179" s="205"/>
      <c r="E179" s="205"/>
      <c r="F179" s="205"/>
      <c r="G179" s="205"/>
      <c r="H179" s="205"/>
      <c r="I179" s="205"/>
      <c r="J179" s="205"/>
      <c r="K179" s="205"/>
      <c r="L179" s="205"/>
      <c r="M179" s="205"/>
    </row>
    <row r="180" spans="4:13" s="112" customFormat="1" ht="12.75">
      <c r="D180" s="205"/>
      <c r="E180" s="205"/>
      <c r="F180" s="205"/>
      <c r="G180" s="205"/>
      <c r="H180" s="205"/>
      <c r="I180" s="205"/>
      <c r="J180" s="205"/>
      <c r="K180" s="205"/>
      <c r="L180" s="205"/>
      <c r="M180" s="205"/>
    </row>
    <row r="181" spans="4:13" s="112" customFormat="1" ht="12.75">
      <c r="D181" s="205"/>
      <c r="E181" s="205"/>
      <c r="F181" s="205"/>
      <c r="G181" s="205"/>
      <c r="H181" s="205"/>
      <c r="I181" s="205"/>
      <c r="J181" s="205"/>
      <c r="K181" s="205"/>
      <c r="L181" s="205"/>
      <c r="M181" s="205"/>
    </row>
    <row r="182" spans="4:13" s="112" customFormat="1" ht="12.75">
      <c r="D182" s="205"/>
      <c r="E182" s="205"/>
      <c r="F182" s="205"/>
      <c r="G182" s="205"/>
      <c r="H182" s="205"/>
      <c r="I182" s="205"/>
      <c r="J182" s="205"/>
      <c r="K182" s="205"/>
      <c r="L182" s="205"/>
      <c r="M182" s="205"/>
    </row>
    <row r="183" spans="4:13" s="112" customFormat="1" ht="12.75">
      <c r="D183" s="205"/>
      <c r="E183" s="205"/>
      <c r="F183" s="205"/>
      <c r="G183" s="205"/>
      <c r="H183" s="205"/>
      <c r="I183" s="205"/>
      <c r="J183" s="205"/>
      <c r="K183" s="205"/>
      <c r="L183" s="205"/>
      <c r="M183" s="205"/>
    </row>
    <row r="184" spans="4:13" s="112" customFormat="1" ht="12.75">
      <c r="D184" s="205"/>
      <c r="E184" s="205"/>
      <c r="F184" s="205"/>
      <c r="G184" s="205"/>
      <c r="H184" s="205"/>
      <c r="I184" s="205"/>
      <c r="J184" s="205"/>
      <c r="K184" s="205"/>
      <c r="L184" s="205"/>
      <c r="M184" s="205"/>
    </row>
    <row r="185" spans="4:13" s="112" customFormat="1" ht="12.75">
      <c r="D185" s="205"/>
      <c r="E185" s="205"/>
      <c r="F185" s="205"/>
      <c r="G185" s="205"/>
      <c r="H185" s="205"/>
      <c r="I185" s="205"/>
      <c r="J185" s="205"/>
      <c r="K185" s="205"/>
      <c r="L185" s="205"/>
      <c r="M185" s="205"/>
    </row>
    <row r="186" spans="4:13" s="112" customFormat="1" ht="12.75">
      <c r="D186" s="205"/>
      <c r="E186" s="205"/>
      <c r="F186" s="205"/>
      <c r="G186" s="205"/>
      <c r="H186" s="205"/>
      <c r="I186" s="205"/>
      <c r="J186" s="205"/>
      <c r="K186" s="205"/>
      <c r="L186" s="205"/>
      <c r="M186" s="205"/>
    </row>
    <row r="187" spans="4:13" s="112" customFormat="1" ht="12.75">
      <c r="D187" s="205"/>
      <c r="E187" s="205"/>
      <c r="F187" s="205"/>
      <c r="G187" s="205"/>
      <c r="H187" s="205"/>
      <c r="I187" s="205"/>
      <c r="J187" s="205"/>
      <c r="K187" s="205"/>
      <c r="L187" s="205"/>
      <c r="M187" s="205"/>
    </row>
    <row r="188" spans="4:13" s="112" customFormat="1" ht="12.75">
      <c r="D188" s="205"/>
      <c r="E188" s="205"/>
      <c r="F188" s="205"/>
      <c r="G188" s="205"/>
      <c r="H188" s="205"/>
      <c r="I188" s="205"/>
      <c r="J188" s="205"/>
      <c r="K188" s="205"/>
      <c r="L188" s="205"/>
      <c r="M188" s="205"/>
    </row>
    <row r="189" spans="4:13" s="112" customFormat="1" ht="12.75">
      <c r="D189" s="205"/>
      <c r="E189" s="205"/>
      <c r="F189" s="205"/>
      <c r="G189" s="205"/>
      <c r="H189" s="205"/>
      <c r="I189" s="205"/>
      <c r="J189" s="205"/>
      <c r="K189" s="205"/>
      <c r="L189" s="205"/>
      <c r="M189" s="205"/>
    </row>
    <row r="190" spans="4:13" s="112" customFormat="1" ht="12.75">
      <c r="D190" s="205"/>
      <c r="E190" s="205"/>
      <c r="F190" s="205"/>
      <c r="G190" s="205"/>
      <c r="H190" s="205"/>
      <c r="I190" s="205"/>
      <c r="J190" s="205"/>
      <c r="K190" s="205"/>
      <c r="L190" s="205"/>
      <c r="M190" s="205"/>
    </row>
    <row r="191" spans="4:13" s="112" customFormat="1" ht="12.75">
      <c r="D191" s="205"/>
      <c r="E191" s="205"/>
      <c r="F191" s="205"/>
      <c r="G191" s="205"/>
      <c r="H191" s="205"/>
      <c r="I191" s="205"/>
      <c r="J191" s="205"/>
      <c r="K191" s="205"/>
      <c r="L191" s="205"/>
      <c r="M191" s="205"/>
    </row>
    <row r="192" spans="4:13" s="112" customFormat="1" ht="12.75">
      <c r="D192" s="205"/>
      <c r="E192" s="205"/>
      <c r="F192" s="205"/>
      <c r="G192" s="205"/>
      <c r="H192" s="205"/>
      <c r="I192" s="205"/>
      <c r="J192" s="205"/>
      <c r="K192" s="205"/>
      <c r="L192" s="205"/>
      <c r="M192" s="205"/>
    </row>
    <row r="193" spans="4:13" s="112" customFormat="1" ht="12.75">
      <c r="D193" s="205"/>
      <c r="E193" s="205"/>
      <c r="F193" s="205"/>
      <c r="G193" s="205"/>
      <c r="H193" s="205"/>
      <c r="I193" s="205"/>
      <c r="J193" s="205"/>
      <c r="K193" s="205"/>
      <c r="L193" s="205"/>
      <c r="M193" s="205"/>
    </row>
    <row r="194" spans="4:13" s="112" customFormat="1" ht="12.75">
      <c r="D194" s="205"/>
      <c r="E194" s="205"/>
      <c r="F194" s="205"/>
      <c r="G194" s="205"/>
      <c r="H194" s="205"/>
      <c r="I194" s="205"/>
      <c r="J194" s="205"/>
      <c r="K194" s="205"/>
      <c r="L194" s="205"/>
      <c r="M194" s="205"/>
    </row>
    <row r="195" spans="4:13" s="112" customFormat="1" ht="12.75">
      <c r="D195" s="205"/>
      <c r="E195" s="205"/>
      <c r="F195" s="205"/>
      <c r="G195" s="205"/>
      <c r="H195" s="205"/>
      <c r="I195" s="205"/>
      <c r="J195" s="205"/>
      <c r="K195" s="205"/>
      <c r="L195" s="205"/>
      <c r="M195" s="205"/>
    </row>
    <row r="196" spans="4:13" s="112" customFormat="1" ht="12.75">
      <c r="D196" s="205"/>
      <c r="E196" s="205"/>
      <c r="F196" s="205"/>
      <c r="G196" s="205"/>
      <c r="H196" s="205"/>
      <c r="I196" s="205"/>
      <c r="J196" s="205"/>
      <c r="K196" s="205"/>
      <c r="L196" s="205"/>
      <c r="M196" s="205"/>
    </row>
    <row r="197" spans="4:13" s="112" customFormat="1" ht="12.75">
      <c r="D197" s="205"/>
      <c r="E197" s="205"/>
      <c r="F197" s="205"/>
      <c r="G197" s="205"/>
      <c r="H197" s="205"/>
      <c r="I197" s="205"/>
      <c r="J197" s="205"/>
      <c r="K197" s="205"/>
      <c r="L197" s="205"/>
      <c r="M197" s="205"/>
    </row>
    <row r="198" spans="4:13" s="112" customFormat="1" ht="12.75">
      <c r="D198" s="205"/>
      <c r="E198" s="205"/>
      <c r="F198" s="205"/>
      <c r="G198" s="205"/>
      <c r="H198" s="205"/>
      <c r="I198" s="205"/>
      <c r="J198" s="205"/>
      <c r="K198" s="205"/>
      <c r="L198" s="205"/>
      <c r="M198" s="205"/>
    </row>
    <row r="199" spans="4:13" s="112" customFormat="1" ht="12.75">
      <c r="D199" s="205"/>
      <c r="E199" s="205"/>
      <c r="F199" s="205"/>
      <c r="G199" s="205"/>
      <c r="H199" s="205"/>
      <c r="I199" s="205"/>
      <c r="J199" s="205"/>
      <c r="K199" s="205"/>
      <c r="L199" s="205"/>
      <c r="M199" s="205"/>
    </row>
    <row r="200" spans="4:13" s="112" customFormat="1" ht="12.75">
      <c r="D200" s="205"/>
      <c r="E200" s="205"/>
      <c r="F200" s="205"/>
      <c r="G200" s="205"/>
      <c r="H200" s="205"/>
      <c r="I200" s="205"/>
      <c r="J200" s="205"/>
      <c r="K200" s="205"/>
      <c r="L200" s="205"/>
      <c r="M200" s="205"/>
    </row>
    <row r="201" spans="4:13" s="112" customFormat="1" ht="12.75">
      <c r="D201" s="205"/>
      <c r="E201" s="205"/>
      <c r="F201" s="205"/>
      <c r="G201" s="205"/>
      <c r="H201" s="205"/>
      <c r="I201" s="205"/>
      <c r="J201" s="205"/>
      <c r="K201" s="205"/>
      <c r="L201" s="205"/>
      <c r="M201" s="205"/>
    </row>
    <row r="202" spans="4:13" s="112" customFormat="1" ht="12.75">
      <c r="D202" s="205"/>
      <c r="E202" s="205"/>
      <c r="F202" s="205"/>
      <c r="G202" s="205"/>
      <c r="H202" s="205"/>
      <c r="I202" s="205"/>
      <c r="J202" s="205"/>
      <c r="K202" s="205"/>
      <c r="L202" s="205"/>
      <c r="M202" s="205"/>
    </row>
    <row r="203" spans="4:13" s="112" customFormat="1" ht="12.75">
      <c r="D203" s="205"/>
      <c r="E203" s="205"/>
      <c r="F203" s="205"/>
      <c r="G203" s="205"/>
      <c r="H203" s="205"/>
      <c r="I203" s="205"/>
      <c r="J203" s="205"/>
      <c r="K203" s="205"/>
      <c r="L203" s="205"/>
      <c r="M203" s="205"/>
    </row>
    <row r="204" spans="4:13" s="112" customFormat="1" ht="12.75">
      <c r="D204" s="205"/>
      <c r="E204" s="205"/>
      <c r="F204" s="205"/>
      <c r="G204" s="205"/>
      <c r="H204" s="205"/>
      <c r="I204" s="205"/>
      <c r="J204" s="205"/>
      <c r="K204" s="205"/>
      <c r="L204" s="205"/>
      <c r="M204" s="205"/>
    </row>
    <row r="205" spans="4:13" s="112" customFormat="1" ht="12.75">
      <c r="D205" s="205"/>
      <c r="E205" s="205"/>
      <c r="F205" s="205"/>
      <c r="G205" s="205"/>
      <c r="H205" s="205"/>
      <c r="I205" s="205"/>
      <c r="J205" s="205"/>
      <c r="K205" s="205"/>
      <c r="L205" s="205"/>
      <c r="M205" s="205"/>
    </row>
    <row r="206" spans="4:13" s="112" customFormat="1" ht="12.75">
      <c r="D206" s="205"/>
      <c r="E206" s="205"/>
      <c r="F206" s="205"/>
      <c r="G206" s="205"/>
      <c r="H206" s="205"/>
      <c r="I206" s="205"/>
      <c r="J206" s="205"/>
      <c r="K206" s="205"/>
      <c r="L206" s="205"/>
      <c r="M206" s="205"/>
    </row>
    <row r="207" spans="4:13" s="112" customFormat="1" ht="12.75">
      <c r="D207" s="205"/>
      <c r="E207" s="205"/>
      <c r="F207" s="205"/>
      <c r="G207" s="205"/>
      <c r="H207" s="205"/>
      <c r="I207" s="205"/>
      <c r="J207" s="205"/>
      <c r="K207" s="205"/>
      <c r="L207" s="205"/>
      <c r="M207" s="205"/>
    </row>
    <row r="208" spans="4:13" s="112" customFormat="1" ht="12.75">
      <c r="D208" s="205"/>
      <c r="E208" s="205"/>
      <c r="F208" s="205"/>
      <c r="G208" s="205"/>
      <c r="H208" s="205"/>
      <c r="I208" s="205"/>
      <c r="J208" s="205"/>
      <c r="K208" s="205"/>
      <c r="L208" s="205"/>
      <c r="M208" s="205"/>
    </row>
    <row r="209" spans="4:13" s="112" customFormat="1" ht="12.75">
      <c r="D209" s="205"/>
      <c r="E209" s="205"/>
      <c r="F209" s="205"/>
      <c r="G209" s="205"/>
      <c r="H209" s="205"/>
      <c r="I209" s="205"/>
      <c r="J209" s="205"/>
      <c r="K209" s="205"/>
      <c r="L209" s="205"/>
      <c r="M209" s="205"/>
    </row>
    <row r="210" spans="4:13" s="112" customFormat="1" ht="12.75">
      <c r="D210" s="205"/>
      <c r="E210" s="205"/>
      <c r="F210" s="205"/>
      <c r="G210" s="205"/>
      <c r="H210" s="205"/>
      <c r="I210" s="205"/>
      <c r="J210" s="205"/>
      <c r="K210" s="205"/>
      <c r="L210" s="205"/>
      <c r="M210" s="205"/>
    </row>
    <row r="211" spans="4:13" s="112" customFormat="1" ht="12.75">
      <c r="D211" s="205"/>
      <c r="E211" s="205"/>
      <c r="F211" s="205"/>
      <c r="G211" s="205"/>
      <c r="H211" s="205"/>
      <c r="I211" s="205"/>
      <c r="J211" s="205"/>
      <c r="K211" s="205"/>
      <c r="L211" s="205"/>
      <c r="M211" s="205"/>
    </row>
    <row r="212" spans="4:13" s="112" customFormat="1" ht="12.75">
      <c r="D212" s="205"/>
      <c r="E212" s="205"/>
      <c r="F212" s="205"/>
      <c r="G212" s="205"/>
      <c r="H212" s="205"/>
      <c r="I212" s="205"/>
      <c r="J212" s="205"/>
      <c r="K212" s="205"/>
      <c r="L212" s="205"/>
      <c r="M212" s="205"/>
    </row>
    <row r="213" spans="4:13" s="112" customFormat="1" ht="12.75">
      <c r="D213" s="205"/>
      <c r="E213" s="205"/>
      <c r="F213" s="205"/>
      <c r="G213" s="205"/>
      <c r="H213" s="205"/>
      <c r="I213" s="205"/>
      <c r="J213" s="205"/>
      <c r="K213" s="205"/>
      <c r="L213" s="205"/>
      <c r="M213" s="205"/>
    </row>
    <row r="214" spans="4:13" s="112" customFormat="1" ht="12.75">
      <c r="D214" s="205"/>
      <c r="E214" s="205"/>
      <c r="F214" s="205"/>
      <c r="G214" s="205"/>
      <c r="H214" s="205"/>
      <c r="I214" s="205"/>
      <c r="J214" s="205"/>
      <c r="K214" s="205"/>
      <c r="L214" s="205"/>
      <c r="M214" s="205"/>
    </row>
    <row r="215" spans="4:13" s="112" customFormat="1" ht="12.75">
      <c r="D215" s="205"/>
      <c r="E215" s="205"/>
      <c r="F215" s="205"/>
      <c r="G215" s="205"/>
      <c r="H215" s="205"/>
      <c r="I215" s="205"/>
      <c r="J215" s="205"/>
      <c r="K215" s="205"/>
      <c r="L215" s="205"/>
      <c r="M215" s="205"/>
    </row>
    <row r="216" spans="4:13" s="112" customFormat="1" ht="12.75">
      <c r="D216" s="205"/>
      <c r="E216" s="205"/>
      <c r="F216" s="205"/>
      <c r="G216" s="205"/>
      <c r="H216" s="205"/>
      <c r="I216" s="205"/>
      <c r="J216" s="205"/>
      <c r="K216" s="205"/>
      <c r="L216" s="205"/>
      <c r="M216" s="205"/>
    </row>
    <row r="217" spans="4:13" s="112" customFormat="1" ht="12.75">
      <c r="D217" s="205"/>
      <c r="E217" s="205"/>
      <c r="F217" s="205"/>
      <c r="G217" s="205"/>
      <c r="H217" s="205"/>
      <c r="I217" s="205"/>
      <c r="J217" s="205"/>
      <c r="K217" s="205"/>
      <c r="L217" s="205"/>
      <c r="M217" s="205"/>
    </row>
    <row r="218" spans="4:13" s="112" customFormat="1" ht="12.75">
      <c r="D218" s="205"/>
      <c r="E218" s="205"/>
      <c r="F218" s="205"/>
      <c r="G218" s="205"/>
      <c r="H218" s="205"/>
      <c r="I218" s="205"/>
      <c r="J218" s="205"/>
      <c r="K218" s="205"/>
      <c r="L218" s="205"/>
      <c r="M218" s="205"/>
    </row>
    <row r="219" spans="4:13" s="112" customFormat="1" ht="12.75">
      <c r="D219" s="205"/>
      <c r="E219" s="205"/>
      <c r="F219" s="205"/>
      <c r="G219" s="205"/>
      <c r="H219" s="205"/>
      <c r="I219" s="205"/>
      <c r="J219" s="205"/>
      <c r="K219" s="205"/>
      <c r="L219" s="205"/>
      <c r="M219" s="205"/>
    </row>
    <row r="220" spans="4:13" s="112" customFormat="1" ht="12.75">
      <c r="D220" s="205"/>
      <c r="E220" s="205"/>
      <c r="F220" s="205"/>
      <c r="G220" s="205"/>
      <c r="H220" s="205"/>
      <c r="I220" s="205"/>
      <c r="J220" s="205"/>
      <c r="K220" s="205"/>
      <c r="L220" s="205"/>
      <c r="M220" s="205"/>
    </row>
    <row r="221" spans="4:13" s="112" customFormat="1" ht="12.75">
      <c r="D221" s="205"/>
      <c r="E221" s="205"/>
      <c r="F221" s="205"/>
      <c r="G221" s="205"/>
      <c r="H221" s="205"/>
      <c r="I221" s="205"/>
      <c r="J221" s="205"/>
      <c r="K221" s="205"/>
      <c r="L221" s="205"/>
      <c r="M221" s="205"/>
    </row>
    <row r="222" spans="4:13" s="112" customFormat="1" ht="12.75">
      <c r="D222" s="205"/>
      <c r="E222" s="205"/>
      <c r="F222" s="205"/>
      <c r="G222" s="205"/>
      <c r="H222" s="205"/>
      <c r="I222" s="205"/>
      <c r="J222" s="205"/>
      <c r="K222" s="205"/>
      <c r="L222" s="205"/>
      <c r="M222" s="205"/>
    </row>
    <row r="223" spans="4:13" s="112" customFormat="1" ht="12.75">
      <c r="D223" s="205"/>
      <c r="E223" s="205"/>
      <c r="F223" s="205"/>
      <c r="G223" s="205"/>
      <c r="H223" s="205"/>
      <c r="I223" s="205"/>
      <c r="J223" s="205"/>
      <c r="K223" s="205"/>
      <c r="L223" s="205"/>
      <c r="M223" s="205"/>
    </row>
    <row r="224" spans="4:13" s="112" customFormat="1" ht="12.75">
      <c r="D224" s="205"/>
      <c r="E224" s="205"/>
      <c r="F224" s="205"/>
      <c r="G224" s="205"/>
      <c r="H224" s="205"/>
      <c r="I224" s="205"/>
      <c r="J224" s="205"/>
      <c r="K224" s="205"/>
      <c r="L224" s="205"/>
      <c r="M224" s="205"/>
    </row>
    <row r="225" spans="4:13" s="112" customFormat="1" ht="12.75">
      <c r="D225" s="205"/>
      <c r="E225" s="205"/>
      <c r="F225" s="205"/>
      <c r="G225" s="205"/>
      <c r="H225" s="205"/>
      <c r="I225" s="205"/>
      <c r="J225" s="205"/>
      <c r="K225" s="205"/>
      <c r="L225" s="205"/>
      <c r="M225" s="205"/>
    </row>
    <row r="226" spans="4:13" s="112" customFormat="1" ht="12.75">
      <c r="D226" s="205"/>
      <c r="E226" s="205"/>
      <c r="F226" s="205"/>
      <c r="G226" s="205"/>
      <c r="H226" s="205"/>
      <c r="I226" s="205"/>
      <c r="J226" s="205"/>
      <c r="K226" s="205"/>
      <c r="L226" s="205"/>
      <c r="M226" s="205"/>
    </row>
    <row r="227" spans="4:13" s="112" customFormat="1" ht="12.75">
      <c r="D227" s="205"/>
      <c r="E227" s="205"/>
      <c r="F227" s="205"/>
      <c r="G227" s="205"/>
      <c r="H227" s="205"/>
      <c r="I227" s="205"/>
      <c r="J227" s="205"/>
      <c r="K227" s="205"/>
      <c r="L227" s="205"/>
      <c r="M227" s="205"/>
    </row>
    <row r="228" spans="4:13" s="112" customFormat="1" ht="12.75">
      <c r="D228" s="205"/>
      <c r="E228" s="205"/>
      <c r="F228" s="205"/>
      <c r="G228" s="205"/>
      <c r="H228" s="205"/>
      <c r="I228" s="205"/>
      <c r="J228" s="205"/>
      <c r="K228" s="205"/>
      <c r="L228" s="205"/>
      <c r="M228" s="205"/>
    </row>
    <row r="229" spans="4:13" s="112" customFormat="1" ht="12.75">
      <c r="D229" s="205"/>
      <c r="E229" s="205"/>
      <c r="F229" s="205"/>
      <c r="G229" s="205"/>
      <c r="H229" s="205"/>
      <c r="I229" s="205"/>
      <c r="J229" s="205"/>
      <c r="K229" s="205"/>
      <c r="L229" s="205"/>
      <c r="M229" s="205"/>
    </row>
    <row r="230" spans="4:13" s="112" customFormat="1" ht="12.75">
      <c r="D230" s="205"/>
      <c r="E230" s="205"/>
      <c r="F230" s="205"/>
      <c r="G230" s="205"/>
      <c r="H230" s="205"/>
      <c r="I230" s="205"/>
      <c r="J230" s="205"/>
      <c r="K230" s="205"/>
      <c r="L230" s="205"/>
      <c r="M230" s="205"/>
    </row>
    <row r="231" spans="4:13" s="112" customFormat="1" ht="12.75">
      <c r="D231" s="205"/>
      <c r="E231" s="205"/>
      <c r="F231" s="205"/>
      <c r="G231" s="205"/>
      <c r="H231" s="205"/>
      <c r="I231" s="205"/>
      <c r="J231" s="205"/>
      <c r="K231" s="205"/>
      <c r="L231" s="205"/>
      <c r="M231" s="205"/>
    </row>
    <row r="232" spans="4:13" s="112" customFormat="1" ht="12.75">
      <c r="D232" s="205"/>
      <c r="E232" s="205"/>
      <c r="F232" s="205"/>
      <c r="G232" s="205"/>
      <c r="H232" s="205"/>
      <c r="I232" s="205"/>
      <c r="J232" s="205"/>
      <c r="K232" s="205"/>
      <c r="L232" s="205"/>
      <c r="M232" s="205"/>
    </row>
    <row r="233" spans="4:13" s="112" customFormat="1" ht="12.75">
      <c r="D233" s="205"/>
      <c r="E233" s="205"/>
      <c r="F233" s="205"/>
      <c r="G233" s="205"/>
      <c r="H233" s="205"/>
      <c r="I233" s="205"/>
      <c r="J233" s="205"/>
      <c r="K233" s="205"/>
      <c r="L233" s="205"/>
      <c r="M233" s="205"/>
    </row>
    <row r="234" spans="4:13" s="112" customFormat="1" ht="12.75">
      <c r="D234" s="205"/>
      <c r="E234" s="205"/>
      <c r="F234" s="205"/>
      <c r="G234" s="205"/>
      <c r="H234" s="205"/>
      <c r="I234" s="205"/>
      <c r="J234" s="205"/>
      <c r="K234" s="205"/>
      <c r="L234" s="205"/>
      <c r="M234" s="205"/>
    </row>
    <row r="235" spans="4:13" s="112" customFormat="1" ht="12.75">
      <c r="D235" s="205"/>
      <c r="E235" s="205"/>
      <c r="F235" s="205"/>
      <c r="G235" s="205"/>
      <c r="H235" s="205"/>
      <c r="I235" s="205"/>
      <c r="J235" s="205"/>
      <c r="K235" s="205"/>
      <c r="L235" s="205"/>
      <c r="M235" s="205"/>
    </row>
    <row r="236" spans="4:13" s="112" customFormat="1" ht="12.75">
      <c r="D236" s="205"/>
      <c r="E236" s="205"/>
      <c r="F236" s="205"/>
      <c r="G236" s="205"/>
      <c r="H236" s="205"/>
      <c r="I236" s="205"/>
      <c r="J236" s="205"/>
      <c r="K236" s="205"/>
      <c r="L236" s="205"/>
      <c r="M236" s="205"/>
    </row>
    <row r="237" spans="4:13" s="112" customFormat="1" ht="12.75">
      <c r="D237" s="205"/>
      <c r="E237" s="205"/>
      <c r="F237" s="205"/>
      <c r="G237" s="205"/>
      <c r="H237" s="205"/>
      <c r="I237" s="205"/>
      <c r="J237" s="205"/>
      <c r="K237" s="205"/>
      <c r="L237" s="205"/>
      <c r="M237" s="205"/>
    </row>
    <row r="238" spans="4:13" s="112" customFormat="1" ht="12.75">
      <c r="D238" s="205"/>
      <c r="E238" s="205"/>
      <c r="F238" s="205"/>
      <c r="G238" s="205"/>
      <c r="H238" s="205"/>
      <c r="I238" s="205"/>
      <c r="J238" s="205"/>
      <c r="K238" s="205"/>
      <c r="L238" s="205"/>
      <c r="M238" s="205"/>
    </row>
    <row r="239" spans="4:13" s="112" customFormat="1" ht="12.75">
      <c r="D239" s="205"/>
      <c r="E239" s="205"/>
      <c r="F239" s="205"/>
      <c r="G239" s="205"/>
      <c r="H239" s="205"/>
      <c r="I239" s="205"/>
      <c r="J239" s="205"/>
      <c r="K239" s="205"/>
      <c r="L239" s="205"/>
      <c r="M239" s="205"/>
    </row>
    <row r="240" spans="4:13" s="112" customFormat="1" ht="12.75">
      <c r="D240" s="205"/>
      <c r="E240" s="205"/>
      <c r="F240" s="205"/>
      <c r="G240" s="205"/>
      <c r="H240" s="205"/>
      <c r="I240" s="205"/>
      <c r="J240" s="205"/>
      <c r="K240" s="205"/>
      <c r="L240" s="205"/>
      <c r="M240" s="205"/>
    </row>
    <row r="241" spans="4:13" s="112" customFormat="1" ht="12.75">
      <c r="D241" s="205"/>
      <c r="E241" s="205"/>
      <c r="F241" s="205"/>
      <c r="G241" s="205"/>
      <c r="H241" s="205"/>
      <c r="I241" s="205"/>
      <c r="J241" s="205"/>
      <c r="K241" s="205"/>
      <c r="L241" s="205"/>
      <c r="M241" s="205"/>
    </row>
    <row r="242" spans="4:13" s="112" customFormat="1" ht="12.75">
      <c r="D242" s="205"/>
      <c r="E242" s="205"/>
      <c r="F242" s="205"/>
      <c r="G242" s="205"/>
      <c r="H242" s="205"/>
      <c r="I242" s="205"/>
      <c r="J242" s="205"/>
      <c r="K242" s="205"/>
      <c r="L242" s="205"/>
      <c r="M242" s="205"/>
    </row>
    <row r="243" spans="4:13" s="112" customFormat="1" ht="12.75">
      <c r="D243" s="205"/>
      <c r="E243" s="205"/>
      <c r="F243" s="205"/>
      <c r="G243" s="205"/>
      <c r="H243" s="205"/>
      <c r="I243" s="205"/>
      <c r="J243" s="205"/>
      <c r="K243" s="205"/>
      <c r="L243" s="205"/>
      <c r="M243" s="205"/>
    </row>
    <row r="244" spans="4:13" s="112" customFormat="1" ht="12.75">
      <c r="D244" s="205"/>
      <c r="E244" s="205"/>
      <c r="F244" s="205"/>
      <c r="G244" s="205"/>
      <c r="H244" s="205"/>
      <c r="I244" s="205"/>
      <c r="J244" s="205"/>
      <c r="K244" s="205"/>
      <c r="L244" s="205"/>
      <c r="M244" s="205"/>
    </row>
    <row r="245" spans="4:13" s="112" customFormat="1" ht="12.75">
      <c r="D245" s="205"/>
      <c r="E245" s="205"/>
      <c r="F245" s="205"/>
      <c r="G245" s="205"/>
      <c r="H245" s="205"/>
      <c r="I245" s="205"/>
      <c r="J245" s="205"/>
      <c r="K245" s="205"/>
      <c r="L245" s="205"/>
      <c r="M245" s="205"/>
    </row>
    <row r="246" spans="4:13" s="112" customFormat="1" ht="12.75">
      <c r="D246" s="205"/>
      <c r="E246" s="205"/>
      <c r="F246" s="205"/>
      <c r="G246" s="205"/>
      <c r="H246" s="205"/>
      <c r="I246" s="205"/>
      <c r="J246" s="205"/>
      <c r="K246" s="205"/>
      <c r="L246" s="205"/>
      <c r="M246" s="205"/>
    </row>
    <row r="247" spans="4:13" s="112" customFormat="1" ht="12.75">
      <c r="D247" s="205"/>
      <c r="E247" s="205"/>
      <c r="F247" s="205"/>
      <c r="G247" s="205"/>
      <c r="H247" s="205"/>
      <c r="I247" s="205"/>
      <c r="J247" s="205"/>
      <c r="K247" s="205"/>
      <c r="L247" s="205"/>
      <c r="M247" s="205"/>
    </row>
    <row r="248" spans="4:13" s="112" customFormat="1" ht="12.75">
      <c r="D248" s="205"/>
      <c r="E248" s="205"/>
      <c r="F248" s="205"/>
      <c r="G248" s="205"/>
      <c r="H248" s="205"/>
      <c r="I248" s="205"/>
      <c r="J248" s="205"/>
      <c r="K248" s="205"/>
      <c r="L248" s="205"/>
      <c r="M248" s="205"/>
    </row>
    <row r="249" spans="4:13" s="112" customFormat="1" ht="12.75">
      <c r="D249" s="205"/>
      <c r="E249" s="205"/>
      <c r="F249" s="205"/>
      <c r="G249" s="205"/>
      <c r="H249" s="205"/>
      <c r="I249" s="205"/>
      <c r="J249" s="205"/>
      <c r="K249" s="205"/>
      <c r="L249" s="205"/>
      <c r="M249" s="205"/>
    </row>
    <row r="250" spans="4:13" s="112" customFormat="1" ht="12.75">
      <c r="D250" s="205"/>
      <c r="E250" s="205"/>
      <c r="F250" s="205"/>
      <c r="G250" s="205"/>
      <c r="H250" s="205"/>
      <c r="I250" s="205"/>
      <c r="J250" s="205"/>
      <c r="K250" s="205"/>
      <c r="L250" s="205"/>
      <c r="M250" s="205"/>
    </row>
    <row r="251" spans="4:13" s="112" customFormat="1" ht="12.75">
      <c r="D251" s="205"/>
      <c r="E251" s="205"/>
      <c r="F251" s="205"/>
      <c r="G251" s="205"/>
      <c r="H251" s="205"/>
      <c r="I251" s="205"/>
      <c r="J251" s="205"/>
      <c r="K251" s="205"/>
      <c r="L251" s="205"/>
      <c r="M251" s="205"/>
    </row>
    <row r="252" spans="4:13" s="112" customFormat="1" ht="12.75">
      <c r="D252" s="205"/>
      <c r="E252" s="205"/>
      <c r="F252" s="205"/>
      <c r="G252" s="205"/>
      <c r="H252" s="205"/>
      <c r="I252" s="205"/>
      <c r="J252" s="205"/>
      <c r="K252" s="205"/>
      <c r="L252" s="205"/>
      <c r="M252" s="205"/>
    </row>
    <row r="253" spans="4:13" s="112" customFormat="1" ht="12.75">
      <c r="D253" s="205"/>
      <c r="E253" s="205"/>
      <c r="F253" s="205"/>
      <c r="G253" s="205"/>
      <c r="H253" s="205"/>
      <c r="I253" s="205"/>
      <c r="J253" s="205"/>
      <c r="K253" s="205"/>
      <c r="L253" s="205"/>
      <c r="M253" s="205"/>
    </row>
    <row r="254" spans="4:13" s="112" customFormat="1" ht="12.75">
      <c r="D254" s="205"/>
      <c r="E254" s="205"/>
      <c r="F254" s="205"/>
      <c r="G254" s="205"/>
      <c r="H254" s="205"/>
      <c r="I254" s="205"/>
      <c r="J254" s="205"/>
      <c r="K254" s="205"/>
      <c r="L254" s="205"/>
      <c r="M254" s="205"/>
    </row>
    <row r="255" spans="4:13" s="112" customFormat="1" ht="12.75">
      <c r="D255" s="205"/>
      <c r="E255" s="205"/>
      <c r="F255" s="205"/>
      <c r="G255" s="205"/>
      <c r="H255" s="205"/>
      <c r="I255" s="205"/>
      <c r="J255" s="205"/>
      <c r="K255" s="205"/>
      <c r="L255" s="205"/>
      <c r="M255" s="205"/>
    </row>
    <row r="256" spans="4:13" s="112" customFormat="1" ht="12.75">
      <c r="D256" s="205"/>
      <c r="E256" s="205"/>
      <c r="F256" s="205"/>
      <c r="G256" s="205"/>
      <c r="H256" s="205"/>
      <c r="I256" s="205"/>
      <c r="J256" s="205"/>
      <c r="K256" s="205"/>
      <c r="L256" s="205"/>
      <c r="M256" s="205"/>
    </row>
    <row r="257" spans="4:13" s="112" customFormat="1" ht="12.75">
      <c r="D257" s="205"/>
      <c r="E257" s="205"/>
      <c r="F257" s="205"/>
      <c r="G257" s="205"/>
      <c r="H257" s="205"/>
      <c r="I257" s="205"/>
      <c r="J257" s="205"/>
      <c r="K257" s="205"/>
      <c r="L257" s="205"/>
      <c r="M257" s="205"/>
    </row>
    <row r="258" spans="4:13" s="112" customFormat="1" ht="12.75">
      <c r="D258" s="205"/>
      <c r="E258" s="205"/>
      <c r="F258" s="205"/>
      <c r="G258" s="205"/>
      <c r="H258" s="205"/>
      <c r="I258" s="205"/>
      <c r="J258" s="205"/>
      <c r="K258" s="205"/>
      <c r="L258" s="205"/>
      <c r="M258" s="205"/>
    </row>
    <row r="259" spans="4:13" s="112" customFormat="1" ht="12.75">
      <c r="D259" s="205"/>
      <c r="E259" s="205"/>
      <c r="F259" s="205"/>
      <c r="G259" s="205"/>
      <c r="H259" s="205"/>
      <c r="I259" s="205"/>
      <c r="J259" s="205"/>
      <c r="K259" s="205"/>
      <c r="L259" s="205"/>
      <c r="M259" s="205"/>
    </row>
    <row r="260" spans="4:13" s="112" customFormat="1" ht="12.75">
      <c r="D260" s="205"/>
      <c r="E260" s="205"/>
      <c r="F260" s="205"/>
      <c r="G260" s="205"/>
      <c r="H260" s="205"/>
      <c r="I260" s="205"/>
      <c r="J260" s="205"/>
      <c r="K260" s="205"/>
      <c r="L260" s="205"/>
      <c r="M260" s="205"/>
    </row>
    <row r="261" spans="4:13" s="112" customFormat="1" ht="12.75">
      <c r="D261" s="205"/>
      <c r="E261" s="205"/>
      <c r="F261" s="205"/>
      <c r="G261" s="205"/>
      <c r="H261" s="205"/>
      <c r="I261" s="205"/>
      <c r="J261" s="205"/>
      <c r="K261" s="205"/>
      <c r="L261" s="205"/>
      <c r="M261" s="205"/>
    </row>
    <row r="262" spans="4:13" s="112" customFormat="1" ht="12.75">
      <c r="D262" s="205"/>
      <c r="E262" s="205"/>
      <c r="F262" s="205"/>
      <c r="G262" s="205"/>
      <c r="H262" s="205"/>
      <c r="I262" s="205"/>
      <c r="J262" s="205"/>
      <c r="K262" s="205"/>
      <c r="L262" s="205"/>
      <c r="M262" s="205"/>
    </row>
    <row r="263" spans="4:13" s="112" customFormat="1" ht="12.75">
      <c r="D263" s="205"/>
      <c r="E263" s="205"/>
      <c r="F263" s="205"/>
      <c r="G263" s="205"/>
      <c r="H263" s="205"/>
      <c r="I263" s="205"/>
      <c r="J263" s="205"/>
      <c r="K263" s="205"/>
      <c r="L263" s="205"/>
      <c r="M263" s="205"/>
    </row>
    <row r="264" spans="4:13" s="112" customFormat="1" ht="12.75">
      <c r="D264" s="205"/>
      <c r="E264" s="205"/>
      <c r="F264" s="205"/>
      <c r="G264" s="205"/>
      <c r="H264" s="205"/>
      <c r="I264" s="205"/>
      <c r="J264" s="205"/>
      <c r="K264" s="205"/>
      <c r="L264" s="205"/>
      <c r="M264" s="205"/>
    </row>
    <row r="265" spans="4:13" s="112" customFormat="1" ht="12.75">
      <c r="D265" s="205"/>
      <c r="E265" s="205"/>
      <c r="F265" s="205"/>
      <c r="G265" s="205"/>
      <c r="H265" s="205"/>
      <c r="I265" s="205"/>
      <c r="J265" s="205"/>
      <c r="K265" s="205"/>
      <c r="L265" s="205"/>
      <c r="M265" s="205"/>
    </row>
    <row r="266" spans="4:13" s="112" customFormat="1" ht="12.75">
      <c r="D266" s="205"/>
      <c r="E266" s="205"/>
      <c r="F266" s="205"/>
      <c r="G266" s="205"/>
      <c r="H266" s="205"/>
      <c r="I266" s="205"/>
      <c r="J266" s="205"/>
      <c r="K266" s="205"/>
      <c r="L266" s="205"/>
      <c r="M266" s="205"/>
    </row>
    <row r="267" spans="4:13" s="112" customFormat="1" ht="12.75">
      <c r="D267" s="205"/>
      <c r="E267" s="205"/>
      <c r="F267" s="205"/>
      <c r="G267" s="205"/>
      <c r="H267" s="205"/>
      <c r="I267" s="205"/>
      <c r="J267" s="205"/>
      <c r="K267" s="205"/>
      <c r="L267" s="205"/>
      <c r="M267" s="205"/>
    </row>
    <row r="268" spans="4:13" s="112" customFormat="1" ht="12.75">
      <c r="D268" s="205"/>
      <c r="E268" s="205"/>
      <c r="F268" s="205"/>
      <c r="G268" s="205"/>
      <c r="H268" s="205"/>
      <c r="I268" s="205"/>
      <c r="J268" s="205"/>
      <c r="K268" s="205"/>
      <c r="L268" s="205"/>
      <c r="M268" s="205"/>
    </row>
    <row r="269" spans="4:13" s="112" customFormat="1" ht="12.75">
      <c r="D269" s="205"/>
      <c r="E269" s="205"/>
      <c r="F269" s="205"/>
      <c r="G269" s="205"/>
      <c r="H269" s="205"/>
      <c r="I269" s="205"/>
      <c r="J269" s="205"/>
      <c r="K269" s="205"/>
      <c r="L269" s="205"/>
      <c r="M269" s="205"/>
    </row>
    <row r="270" spans="4:13" s="112" customFormat="1" ht="12.75">
      <c r="D270" s="205"/>
      <c r="E270" s="205"/>
      <c r="F270" s="205"/>
      <c r="G270" s="205"/>
      <c r="H270" s="205"/>
      <c r="I270" s="205"/>
      <c r="J270" s="205"/>
      <c r="K270" s="205"/>
      <c r="L270" s="205"/>
      <c r="M270" s="205"/>
    </row>
    <row r="271" spans="4:13" s="112" customFormat="1" ht="12.75">
      <c r="D271" s="205"/>
      <c r="E271" s="205"/>
      <c r="F271" s="205"/>
      <c r="G271" s="205"/>
      <c r="H271" s="205"/>
      <c r="I271" s="205"/>
      <c r="J271" s="205"/>
      <c r="K271" s="205"/>
      <c r="L271" s="205"/>
      <c r="M271" s="205"/>
    </row>
    <row r="272" spans="4:13" s="112" customFormat="1" ht="12.75">
      <c r="D272" s="205"/>
      <c r="E272" s="205"/>
      <c r="F272" s="205"/>
      <c r="G272" s="205"/>
      <c r="H272" s="205"/>
      <c r="I272" s="205"/>
      <c r="J272" s="205"/>
      <c r="K272" s="205"/>
      <c r="L272" s="205"/>
      <c r="M272" s="205"/>
    </row>
    <row r="273" spans="4:13" s="112" customFormat="1" ht="12.75">
      <c r="D273" s="205"/>
      <c r="E273" s="205"/>
      <c r="F273" s="205"/>
      <c r="G273" s="205"/>
      <c r="H273" s="205"/>
      <c r="I273" s="205"/>
      <c r="J273" s="205"/>
      <c r="K273" s="205"/>
      <c r="L273" s="205"/>
      <c r="M273" s="205"/>
    </row>
    <row r="274" spans="4:13" s="112" customFormat="1" ht="12.75">
      <c r="D274" s="205"/>
      <c r="E274" s="205"/>
      <c r="F274" s="205"/>
      <c r="G274" s="205"/>
      <c r="H274" s="205"/>
      <c r="I274" s="205"/>
      <c r="J274" s="205"/>
      <c r="K274" s="205"/>
      <c r="L274" s="205"/>
      <c r="M274" s="205"/>
    </row>
    <row r="275" spans="4:13" s="112" customFormat="1" ht="12.75">
      <c r="D275" s="205"/>
      <c r="E275" s="205"/>
      <c r="F275" s="205"/>
      <c r="G275" s="205"/>
      <c r="H275" s="205"/>
      <c r="I275" s="205"/>
      <c r="J275" s="205"/>
      <c r="K275" s="205"/>
      <c r="L275" s="205"/>
      <c r="M275" s="205"/>
    </row>
    <row r="276" spans="4:13" s="112" customFormat="1" ht="12.75">
      <c r="D276" s="205"/>
      <c r="E276" s="205"/>
      <c r="F276" s="205"/>
      <c r="G276" s="205"/>
      <c r="H276" s="205"/>
      <c r="I276" s="205"/>
      <c r="J276" s="205"/>
      <c r="K276" s="205"/>
      <c r="L276" s="205"/>
      <c r="M276" s="205"/>
    </row>
    <row r="277" spans="4:13" s="112" customFormat="1" ht="12.75">
      <c r="D277" s="205"/>
      <c r="E277" s="205"/>
      <c r="F277" s="205"/>
      <c r="G277" s="205"/>
      <c r="H277" s="205"/>
      <c r="I277" s="205"/>
      <c r="J277" s="205"/>
      <c r="K277" s="205"/>
      <c r="L277" s="205"/>
      <c r="M277" s="205"/>
    </row>
    <row r="278" spans="4:13" s="112" customFormat="1" ht="12.75">
      <c r="D278" s="205"/>
      <c r="E278" s="205"/>
      <c r="F278" s="205"/>
      <c r="G278" s="205"/>
      <c r="H278" s="205"/>
      <c r="I278" s="205"/>
      <c r="J278" s="205"/>
      <c r="K278" s="205"/>
      <c r="L278" s="205"/>
      <c r="M278" s="205"/>
    </row>
    <row r="279" spans="4:13" s="112" customFormat="1" ht="12.75">
      <c r="D279" s="205"/>
      <c r="E279" s="205"/>
      <c r="F279" s="205"/>
      <c r="G279" s="205"/>
      <c r="H279" s="205"/>
      <c r="I279" s="205"/>
      <c r="J279" s="205"/>
      <c r="K279" s="205"/>
      <c r="L279" s="205"/>
      <c r="M279" s="205"/>
    </row>
    <row r="280" spans="4:13" s="112" customFormat="1" ht="12.75">
      <c r="D280" s="205"/>
      <c r="E280" s="205"/>
      <c r="F280" s="205"/>
      <c r="G280" s="205"/>
      <c r="H280" s="205"/>
      <c r="I280" s="205"/>
      <c r="J280" s="205"/>
      <c r="K280" s="205"/>
      <c r="L280" s="205"/>
      <c r="M280" s="205"/>
    </row>
    <row r="281" spans="4:13" s="112" customFormat="1" ht="12.75">
      <c r="D281" s="205"/>
      <c r="E281" s="205"/>
      <c r="F281" s="205"/>
      <c r="G281" s="205"/>
      <c r="H281" s="205"/>
      <c r="I281" s="205"/>
      <c r="J281" s="205"/>
      <c r="K281" s="205"/>
      <c r="L281" s="205"/>
      <c r="M281" s="205"/>
    </row>
    <row r="282" spans="4:13" s="112" customFormat="1" ht="12.75">
      <c r="D282" s="205"/>
      <c r="E282" s="205"/>
      <c r="F282" s="205"/>
      <c r="G282" s="205"/>
      <c r="H282" s="205"/>
      <c r="I282" s="205"/>
      <c r="J282" s="205"/>
      <c r="K282" s="205"/>
      <c r="L282" s="205"/>
      <c r="M282" s="205"/>
    </row>
    <row r="283" spans="4:13" s="112" customFormat="1" ht="12.75">
      <c r="D283" s="205"/>
      <c r="E283" s="205"/>
      <c r="F283" s="205"/>
      <c r="G283" s="205"/>
      <c r="H283" s="205"/>
      <c r="I283" s="205"/>
      <c r="J283" s="205"/>
      <c r="K283" s="205"/>
      <c r="L283" s="205"/>
      <c r="M283" s="205"/>
    </row>
    <row r="284" spans="4:13" s="112" customFormat="1" ht="12.75">
      <c r="D284" s="205"/>
      <c r="E284" s="205"/>
      <c r="F284" s="205"/>
      <c r="G284" s="205"/>
      <c r="H284" s="205"/>
      <c r="I284" s="205"/>
      <c r="J284" s="205"/>
      <c r="K284" s="205"/>
      <c r="L284" s="205"/>
      <c r="M284" s="205"/>
    </row>
    <row r="285" spans="4:13" s="112" customFormat="1" ht="12.75">
      <c r="D285" s="205"/>
      <c r="E285" s="205"/>
      <c r="F285" s="205"/>
      <c r="G285" s="205"/>
      <c r="H285" s="205"/>
      <c r="I285" s="205"/>
      <c r="J285" s="205"/>
      <c r="K285" s="205"/>
      <c r="L285" s="205"/>
      <c r="M285" s="205"/>
    </row>
    <row r="286" spans="4:13" s="112" customFormat="1" ht="12.75">
      <c r="D286" s="205"/>
      <c r="E286" s="205"/>
      <c r="F286" s="205"/>
      <c r="G286" s="205"/>
      <c r="H286" s="205"/>
      <c r="I286" s="205"/>
      <c r="J286" s="205"/>
      <c r="K286" s="205"/>
      <c r="L286" s="205"/>
      <c r="M286" s="205"/>
    </row>
    <row r="287" spans="4:13" s="112" customFormat="1" ht="12.75">
      <c r="D287" s="205"/>
      <c r="E287" s="205"/>
      <c r="F287" s="205"/>
      <c r="G287" s="205"/>
      <c r="H287" s="205"/>
      <c r="I287" s="205"/>
      <c r="J287" s="205"/>
      <c r="K287" s="205"/>
      <c r="L287" s="205"/>
      <c r="M287" s="205"/>
    </row>
    <row r="288" spans="4:13" s="112" customFormat="1" ht="12.75">
      <c r="D288" s="205"/>
      <c r="E288" s="205"/>
      <c r="F288" s="205"/>
      <c r="G288" s="205"/>
      <c r="H288" s="205"/>
      <c r="I288" s="205"/>
      <c r="J288" s="205"/>
      <c r="K288" s="205"/>
      <c r="L288" s="205"/>
      <c r="M288" s="205"/>
    </row>
    <row r="289" spans="4:13" s="112" customFormat="1" ht="12.75">
      <c r="D289" s="205"/>
      <c r="E289" s="205"/>
      <c r="F289" s="205"/>
      <c r="G289" s="205"/>
      <c r="H289" s="205"/>
      <c r="I289" s="205"/>
      <c r="J289" s="205"/>
      <c r="K289" s="205"/>
      <c r="L289" s="205"/>
      <c r="M289" s="205"/>
    </row>
    <row r="290" spans="4:13" s="112" customFormat="1" ht="12.75">
      <c r="D290" s="205"/>
      <c r="E290" s="205"/>
      <c r="F290" s="205"/>
      <c r="G290" s="205"/>
      <c r="H290" s="205"/>
      <c r="I290" s="205"/>
      <c r="J290" s="205"/>
      <c r="K290" s="205"/>
      <c r="L290" s="205"/>
      <c r="M290" s="205"/>
    </row>
    <row r="291" spans="4:13" s="112" customFormat="1" ht="12.75">
      <c r="D291" s="205"/>
      <c r="E291" s="205"/>
      <c r="F291" s="205"/>
      <c r="G291" s="205"/>
      <c r="H291" s="205"/>
      <c r="I291" s="205"/>
      <c r="J291" s="205"/>
      <c r="K291" s="205"/>
      <c r="L291" s="205"/>
      <c r="M291" s="205"/>
    </row>
    <row r="292" spans="4:13" s="112" customFormat="1" ht="12.75">
      <c r="D292" s="205"/>
      <c r="E292" s="205"/>
      <c r="F292" s="205"/>
      <c r="G292" s="205"/>
      <c r="H292" s="205"/>
      <c r="I292" s="205"/>
      <c r="J292" s="205"/>
      <c r="K292" s="205"/>
      <c r="L292" s="205"/>
      <c r="M292" s="205"/>
    </row>
    <row r="293" spans="4:13" s="112" customFormat="1" ht="12.75">
      <c r="D293" s="205"/>
      <c r="E293" s="205"/>
      <c r="F293" s="205"/>
      <c r="G293" s="205"/>
      <c r="H293" s="205"/>
      <c r="I293" s="205"/>
      <c r="J293" s="205"/>
      <c r="K293" s="205"/>
      <c r="L293" s="205"/>
      <c r="M293" s="205"/>
    </row>
    <row r="294" spans="4:13" s="112" customFormat="1" ht="12.75">
      <c r="D294" s="205"/>
      <c r="E294" s="205"/>
      <c r="F294" s="205"/>
      <c r="G294" s="205"/>
      <c r="H294" s="205"/>
      <c r="I294" s="205"/>
      <c r="J294" s="205"/>
      <c r="K294" s="205"/>
      <c r="L294" s="205"/>
      <c r="M294" s="205"/>
    </row>
    <row r="295" spans="4:13" s="112" customFormat="1" ht="12.75">
      <c r="D295" s="205"/>
      <c r="E295" s="205"/>
      <c r="F295" s="205"/>
      <c r="G295" s="205"/>
      <c r="H295" s="205"/>
      <c r="I295" s="205"/>
      <c r="J295" s="205"/>
      <c r="K295" s="205"/>
      <c r="L295" s="205"/>
      <c r="M295" s="205"/>
    </row>
    <row r="296" spans="4:13" s="112" customFormat="1" ht="12.75">
      <c r="D296" s="205"/>
      <c r="E296" s="205"/>
      <c r="F296" s="205"/>
      <c r="G296" s="205"/>
      <c r="H296" s="205"/>
      <c r="I296" s="205"/>
      <c r="J296" s="205"/>
      <c r="K296" s="205"/>
      <c r="L296" s="205"/>
      <c r="M296" s="205"/>
    </row>
    <row r="297" spans="4:13" s="112" customFormat="1" ht="12.75">
      <c r="D297" s="205"/>
      <c r="E297" s="205"/>
      <c r="F297" s="205"/>
      <c r="G297" s="205"/>
      <c r="H297" s="205"/>
      <c r="I297" s="205"/>
      <c r="J297" s="205"/>
      <c r="K297" s="205"/>
      <c r="L297" s="205"/>
      <c r="M297" s="205"/>
    </row>
    <row r="298" spans="4:13" s="112" customFormat="1" ht="12.75">
      <c r="D298" s="205"/>
      <c r="E298" s="205"/>
      <c r="F298" s="205"/>
      <c r="G298" s="205"/>
      <c r="H298" s="205"/>
      <c r="I298" s="205"/>
      <c r="J298" s="205"/>
      <c r="K298" s="205"/>
      <c r="L298" s="205"/>
      <c r="M298" s="205"/>
    </row>
    <row r="299" spans="4:13" s="112" customFormat="1" ht="12.75">
      <c r="D299" s="205"/>
      <c r="E299" s="205"/>
      <c r="F299" s="205"/>
      <c r="G299" s="205"/>
      <c r="H299" s="205"/>
      <c r="I299" s="205"/>
      <c r="J299" s="205"/>
      <c r="K299" s="205"/>
      <c r="L299" s="205"/>
      <c r="M299" s="205"/>
    </row>
    <row r="300" spans="4:13" s="112" customFormat="1" ht="12.75">
      <c r="D300" s="205"/>
      <c r="E300" s="205"/>
      <c r="F300" s="205"/>
      <c r="G300" s="205"/>
      <c r="H300" s="205"/>
      <c r="I300" s="205"/>
      <c r="J300" s="205"/>
      <c r="K300" s="205"/>
      <c r="L300" s="205"/>
      <c r="M300" s="205"/>
    </row>
    <row r="301" spans="4:13" s="112" customFormat="1" ht="12.75">
      <c r="D301" s="205"/>
      <c r="E301" s="205"/>
      <c r="F301" s="205"/>
      <c r="G301" s="205"/>
      <c r="H301" s="205"/>
      <c r="I301" s="205"/>
      <c r="J301" s="205"/>
      <c r="K301" s="205"/>
      <c r="L301" s="205"/>
      <c r="M301" s="205"/>
    </row>
    <row r="302" spans="4:13" s="112" customFormat="1" ht="12.75">
      <c r="D302" s="205"/>
      <c r="E302" s="205"/>
      <c r="F302" s="205"/>
      <c r="G302" s="205"/>
      <c r="H302" s="205"/>
      <c r="I302" s="205"/>
      <c r="J302" s="205"/>
      <c r="K302" s="205"/>
      <c r="L302" s="205"/>
      <c r="M302" s="205"/>
    </row>
    <row r="303" spans="4:13" s="112" customFormat="1" ht="12.75">
      <c r="D303" s="205"/>
      <c r="E303" s="205"/>
      <c r="F303" s="205"/>
      <c r="G303" s="205"/>
      <c r="H303" s="205"/>
      <c r="I303" s="205"/>
      <c r="J303" s="205"/>
      <c r="K303" s="205"/>
      <c r="L303" s="205"/>
      <c r="M303" s="205"/>
    </row>
    <row r="304" spans="4:13" s="112" customFormat="1" ht="12.75">
      <c r="D304" s="205"/>
      <c r="E304" s="205"/>
      <c r="F304" s="205"/>
      <c r="G304" s="205"/>
      <c r="H304" s="205"/>
      <c r="I304" s="205"/>
      <c r="J304" s="205"/>
      <c r="K304" s="205"/>
      <c r="L304" s="205"/>
      <c r="M304" s="205"/>
    </row>
    <row r="305" spans="4:13" s="112" customFormat="1" ht="12.75">
      <c r="D305" s="205"/>
      <c r="E305" s="205"/>
      <c r="F305" s="205"/>
      <c r="G305" s="205"/>
      <c r="H305" s="205"/>
      <c r="I305" s="205"/>
      <c r="J305" s="205"/>
      <c r="K305" s="205"/>
      <c r="L305" s="205"/>
      <c r="M305" s="205"/>
    </row>
    <row r="306" spans="4:13" s="112" customFormat="1" ht="12.75">
      <c r="D306" s="205"/>
      <c r="E306" s="205"/>
      <c r="F306" s="205"/>
      <c r="G306" s="205"/>
      <c r="H306" s="205"/>
      <c r="I306" s="205"/>
      <c r="J306" s="205"/>
      <c r="K306" s="205"/>
      <c r="L306" s="205"/>
      <c r="M306" s="205"/>
    </row>
    <row r="307" spans="4:13" s="112" customFormat="1" ht="12.75">
      <c r="D307" s="205"/>
      <c r="E307" s="205"/>
      <c r="F307" s="205"/>
      <c r="G307" s="205"/>
      <c r="H307" s="205"/>
      <c r="I307" s="205"/>
      <c r="J307" s="205"/>
      <c r="K307" s="205"/>
      <c r="L307" s="205"/>
      <c r="M307" s="205"/>
    </row>
    <row r="308" spans="4:13" s="112" customFormat="1" ht="12.75">
      <c r="D308" s="205"/>
      <c r="E308" s="205"/>
      <c r="F308" s="205"/>
      <c r="G308" s="205"/>
      <c r="H308" s="205"/>
      <c r="I308" s="205"/>
      <c r="J308" s="205"/>
      <c r="K308" s="205"/>
      <c r="L308" s="205"/>
      <c r="M308" s="205"/>
    </row>
    <row r="309" spans="4:13" s="112" customFormat="1" ht="12.75">
      <c r="D309" s="205"/>
      <c r="E309" s="205"/>
      <c r="F309" s="205"/>
      <c r="G309" s="205"/>
      <c r="H309" s="205"/>
      <c r="I309" s="205"/>
      <c r="J309" s="205"/>
      <c r="K309" s="205"/>
      <c r="L309" s="205"/>
      <c r="M309" s="205"/>
    </row>
    <row r="310" spans="4:13" s="112" customFormat="1" ht="12.75">
      <c r="D310" s="205"/>
      <c r="E310" s="205"/>
      <c r="F310" s="205"/>
      <c r="G310" s="205"/>
      <c r="H310" s="205"/>
      <c r="I310" s="205"/>
      <c r="J310" s="205"/>
      <c r="K310" s="205"/>
      <c r="L310" s="205"/>
      <c r="M310" s="205"/>
    </row>
    <row r="311" spans="4:13" s="112" customFormat="1" ht="12.75">
      <c r="D311" s="205"/>
      <c r="E311" s="205"/>
      <c r="F311" s="205"/>
      <c r="G311" s="205"/>
      <c r="H311" s="205"/>
      <c r="I311" s="205"/>
      <c r="J311" s="205"/>
      <c r="K311" s="205"/>
      <c r="L311" s="205"/>
      <c r="M311" s="205"/>
    </row>
    <row r="312" spans="4:13" s="112" customFormat="1" ht="12.75">
      <c r="D312" s="205"/>
      <c r="E312" s="205"/>
      <c r="F312" s="205"/>
      <c r="G312" s="205"/>
      <c r="H312" s="205"/>
      <c r="I312" s="205"/>
      <c r="J312" s="205"/>
      <c r="K312" s="205"/>
      <c r="L312" s="205"/>
      <c r="M312" s="205"/>
    </row>
    <row r="313" spans="4:13" s="112" customFormat="1" ht="12.75">
      <c r="D313" s="205"/>
      <c r="E313" s="205"/>
      <c r="F313" s="205"/>
      <c r="G313" s="205"/>
      <c r="H313" s="205"/>
      <c r="I313" s="205"/>
      <c r="J313" s="205"/>
      <c r="K313" s="205"/>
      <c r="L313" s="205"/>
      <c r="M313" s="205"/>
    </row>
    <row r="314" spans="4:13" s="112" customFormat="1" ht="12.75">
      <c r="D314" s="205"/>
      <c r="E314" s="205"/>
      <c r="F314" s="205"/>
      <c r="G314" s="205"/>
      <c r="H314" s="205"/>
      <c r="I314" s="205"/>
      <c r="J314" s="205"/>
      <c r="K314" s="205"/>
      <c r="L314" s="205"/>
      <c r="M314" s="205"/>
    </row>
    <row r="315" spans="4:13" s="112" customFormat="1" ht="12.75">
      <c r="D315" s="205"/>
      <c r="E315" s="205"/>
      <c r="F315" s="205"/>
      <c r="G315" s="205"/>
      <c r="H315" s="205"/>
      <c r="I315" s="205"/>
      <c r="J315" s="205"/>
      <c r="K315" s="205"/>
      <c r="L315" s="205"/>
      <c r="M315" s="205"/>
    </row>
    <row r="316" spans="4:13" s="112" customFormat="1" ht="12.75">
      <c r="D316" s="205"/>
      <c r="E316" s="205"/>
      <c r="F316" s="205"/>
      <c r="G316" s="205"/>
      <c r="H316" s="205"/>
      <c r="I316" s="205"/>
      <c r="J316" s="205"/>
      <c r="K316" s="205"/>
      <c r="L316" s="205"/>
      <c r="M316" s="205"/>
    </row>
    <row r="317" spans="4:13" s="112" customFormat="1" ht="12.75">
      <c r="D317" s="205"/>
      <c r="E317" s="205"/>
      <c r="F317" s="205"/>
      <c r="G317" s="205"/>
      <c r="H317" s="205"/>
      <c r="I317" s="205"/>
      <c r="J317" s="205"/>
      <c r="K317" s="205"/>
      <c r="L317" s="205"/>
      <c r="M317" s="205"/>
    </row>
    <row r="318" spans="4:13" s="112" customFormat="1" ht="12.75">
      <c r="D318" s="205"/>
      <c r="E318" s="205"/>
      <c r="F318" s="205"/>
      <c r="G318" s="205"/>
      <c r="H318" s="205"/>
      <c r="I318" s="205"/>
      <c r="J318" s="205"/>
      <c r="K318" s="205"/>
      <c r="L318" s="205"/>
      <c r="M318" s="205"/>
    </row>
    <row r="319" spans="4:13" s="112" customFormat="1" ht="12.75">
      <c r="D319" s="205"/>
      <c r="E319" s="205"/>
      <c r="F319" s="205"/>
      <c r="G319" s="205"/>
      <c r="H319" s="205"/>
      <c r="I319" s="205"/>
      <c r="J319" s="205"/>
      <c r="K319" s="205"/>
      <c r="L319" s="205"/>
      <c r="M319" s="205"/>
    </row>
    <row r="320" spans="4:13" s="112" customFormat="1" ht="12.75">
      <c r="D320" s="205"/>
      <c r="E320" s="205"/>
      <c r="F320" s="205"/>
      <c r="G320" s="205"/>
      <c r="H320" s="205"/>
      <c r="I320" s="205"/>
      <c r="J320" s="205"/>
      <c r="K320" s="205"/>
      <c r="L320" s="205"/>
      <c r="M320" s="205"/>
    </row>
    <row r="321" spans="4:13" s="112" customFormat="1" ht="12.75">
      <c r="D321" s="205"/>
      <c r="E321" s="205"/>
      <c r="F321" s="205"/>
      <c r="G321" s="205"/>
      <c r="H321" s="205"/>
      <c r="I321" s="205"/>
      <c r="J321" s="205"/>
      <c r="K321" s="205"/>
      <c r="L321" s="205"/>
      <c r="M321" s="205"/>
    </row>
    <row r="322" spans="4:13" s="112" customFormat="1" ht="12.75">
      <c r="D322" s="205"/>
      <c r="E322" s="205"/>
      <c r="F322" s="205"/>
      <c r="G322" s="205"/>
      <c r="H322" s="205"/>
      <c r="I322" s="205"/>
      <c r="J322" s="205"/>
      <c r="K322" s="205"/>
      <c r="L322" s="205"/>
      <c r="M322" s="205"/>
    </row>
    <row r="323" spans="4:13" s="112" customFormat="1" ht="12.75">
      <c r="D323" s="205"/>
      <c r="E323" s="205"/>
      <c r="F323" s="205"/>
      <c r="G323" s="205"/>
      <c r="H323" s="205"/>
      <c r="I323" s="205"/>
      <c r="J323" s="205"/>
      <c r="K323" s="205"/>
      <c r="L323" s="205"/>
      <c r="M323" s="205"/>
    </row>
    <row r="324" spans="4:13" s="112" customFormat="1" ht="12.75">
      <c r="D324" s="205"/>
      <c r="E324" s="205"/>
      <c r="F324" s="205"/>
      <c r="G324" s="205"/>
      <c r="H324" s="205"/>
      <c r="I324" s="205"/>
      <c r="J324" s="205"/>
      <c r="K324" s="205"/>
      <c r="L324" s="205"/>
      <c r="M324" s="205"/>
    </row>
    <row r="325" spans="4:13" s="112" customFormat="1" ht="12.75">
      <c r="D325" s="205"/>
      <c r="E325" s="205"/>
      <c r="F325" s="205"/>
      <c r="G325" s="205"/>
      <c r="H325" s="205"/>
      <c r="I325" s="205"/>
      <c r="J325" s="205"/>
      <c r="K325" s="205"/>
      <c r="L325" s="205"/>
      <c r="M325" s="205"/>
    </row>
    <row r="326" spans="4:13" s="112" customFormat="1" ht="12.75">
      <c r="D326" s="205"/>
      <c r="E326" s="205"/>
      <c r="F326" s="205"/>
      <c r="G326" s="205"/>
      <c r="H326" s="205"/>
      <c r="I326" s="205"/>
      <c r="J326" s="205"/>
      <c r="K326" s="205"/>
      <c r="L326" s="205"/>
      <c r="M326" s="205"/>
    </row>
    <row r="327" spans="4:13" s="112" customFormat="1" ht="12.75">
      <c r="D327" s="205"/>
      <c r="E327" s="205"/>
      <c r="F327" s="205"/>
      <c r="G327" s="205"/>
      <c r="H327" s="205"/>
      <c r="I327" s="205"/>
      <c r="J327" s="205"/>
      <c r="K327" s="205"/>
      <c r="L327" s="205"/>
      <c r="M327" s="205"/>
    </row>
    <row r="328" spans="4:13" s="112" customFormat="1" ht="12.75">
      <c r="D328" s="205"/>
      <c r="E328" s="205"/>
      <c r="F328" s="205"/>
      <c r="G328" s="205"/>
      <c r="H328" s="205"/>
      <c r="I328" s="205"/>
      <c r="J328" s="205"/>
      <c r="K328" s="205"/>
      <c r="L328" s="205"/>
      <c r="M328" s="205"/>
    </row>
    <row r="329" spans="4:13" s="112" customFormat="1" ht="12.75">
      <c r="D329" s="205"/>
      <c r="E329" s="205"/>
      <c r="F329" s="205"/>
      <c r="G329" s="205"/>
      <c r="H329" s="205"/>
      <c r="I329" s="205"/>
      <c r="J329" s="205"/>
      <c r="K329" s="205"/>
      <c r="L329" s="205"/>
      <c r="M329" s="205"/>
    </row>
    <row r="330" spans="4:13" s="112" customFormat="1" ht="12.75">
      <c r="D330" s="205"/>
      <c r="E330" s="205"/>
      <c r="F330" s="205"/>
      <c r="G330" s="205"/>
      <c r="H330" s="205"/>
      <c r="I330" s="205"/>
      <c r="J330" s="205"/>
      <c r="K330" s="205"/>
      <c r="L330" s="205"/>
      <c r="M330" s="205"/>
    </row>
    <row r="331" spans="4:13" s="112" customFormat="1" ht="12.75">
      <c r="D331" s="205"/>
      <c r="E331" s="205"/>
      <c r="F331" s="205"/>
      <c r="G331" s="205"/>
      <c r="H331" s="205"/>
      <c r="I331" s="205"/>
      <c r="J331" s="205"/>
      <c r="K331" s="205"/>
      <c r="L331" s="205"/>
      <c r="M331" s="205"/>
    </row>
    <row r="332" spans="4:13" s="112" customFormat="1" ht="12.75">
      <c r="D332" s="205"/>
      <c r="E332" s="205"/>
      <c r="F332" s="205"/>
      <c r="G332" s="205"/>
      <c r="H332" s="205"/>
      <c r="I332" s="205"/>
      <c r="J332" s="205"/>
      <c r="K332" s="205"/>
      <c r="L332" s="205"/>
      <c r="M332" s="205"/>
    </row>
    <row r="333" spans="4:13" s="112" customFormat="1" ht="12.75">
      <c r="D333" s="205"/>
      <c r="E333" s="205"/>
      <c r="F333" s="205"/>
      <c r="G333" s="205"/>
      <c r="H333" s="205"/>
      <c r="I333" s="205"/>
      <c r="J333" s="205"/>
      <c r="K333" s="205"/>
      <c r="L333" s="205"/>
      <c r="M333" s="205"/>
    </row>
    <row r="334" spans="4:13" s="112" customFormat="1" ht="12.75">
      <c r="D334" s="205"/>
      <c r="E334" s="205"/>
      <c r="F334" s="205"/>
      <c r="G334" s="205"/>
      <c r="H334" s="205"/>
      <c r="I334" s="205"/>
      <c r="J334" s="205"/>
      <c r="K334" s="205"/>
      <c r="L334" s="205"/>
      <c r="M334" s="205"/>
    </row>
    <row r="335" spans="4:13" s="112" customFormat="1" ht="12.75">
      <c r="D335" s="205"/>
      <c r="E335" s="205"/>
      <c r="F335" s="205"/>
      <c r="G335" s="205"/>
      <c r="H335" s="205"/>
      <c r="I335" s="205"/>
      <c r="J335" s="205"/>
      <c r="K335" s="205"/>
      <c r="L335" s="205"/>
      <c r="M335" s="205"/>
    </row>
    <row r="336" spans="4:13" s="112" customFormat="1" ht="12.75">
      <c r="D336" s="205"/>
      <c r="E336" s="205"/>
      <c r="F336" s="205"/>
      <c r="G336" s="205"/>
      <c r="H336" s="205"/>
      <c r="I336" s="205"/>
      <c r="J336" s="205"/>
      <c r="K336" s="205"/>
      <c r="L336" s="205"/>
      <c r="M336" s="205"/>
    </row>
    <row r="337" spans="4:13" s="112" customFormat="1" ht="12.75">
      <c r="D337" s="205"/>
      <c r="E337" s="205"/>
      <c r="F337" s="205"/>
      <c r="G337" s="205"/>
      <c r="H337" s="205"/>
      <c r="I337" s="205"/>
      <c r="J337" s="205"/>
      <c r="K337" s="205"/>
      <c r="L337" s="205"/>
      <c r="M337" s="205"/>
    </row>
    <row r="338" spans="4:13" s="112" customFormat="1" ht="12.75">
      <c r="D338" s="205"/>
      <c r="E338" s="205"/>
      <c r="F338" s="205"/>
      <c r="G338" s="205"/>
      <c r="H338" s="205"/>
      <c r="I338" s="205"/>
      <c r="J338" s="205"/>
      <c r="K338" s="205"/>
      <c r="L338" s="205"/>
      <c r="M338" s="205"/>
    </row>
    <row r="339" spans="4:13" s="112" customFormat="1" ht="12.75">
      <c r="D339" s="205"/>
      <c r="E339" s="205"/>
      <c r="F339" s="205"/>
      <c r="G339" s="205"/>
      <c r="H339" s="205"/>
      <c r="I339" s="205"/>
      <c r="J339" s="205"/>
      <c r="K339" s="205"/>
      <c r="L339" s="205"/>
      <c r="M339" s="205"/>
    </row>
    <row r="340" spans="4:13" s="112" customFormat="1" ht="12.75">
      <c r="D340" s="205"/>
      <c r="E340" s="205"/>
      <c r="F340" s="205"/>
      <c r="G340" s="205"/>
      <c r="H340" s="205"/>
      <c r="I340" s="205"/>
      <c r="J340" s="205"/>
      <c r="K340" s="205"/>
      <c r="L340" s="205"/>
      <c r="M340" s="205"/>
    </row>
    <row r="341" spans="4:13" s="112" customFormat="1" ht="12.75">
      <c r="D341" s="205"/>
      <c r="E341" s="205"/>
      <c r="F341" s="205"/>
      <c r="G341" s="205"/>
      <c r="H341" s="205"/>
      <c r="I341" s="205"/>
      <c r="J341" s="205"/>
      <c r="K341" s="205"/>
      <c r="L341" s="205"/>
      <c r="M341" s="205"/>
    </row>
    <row r="342" spans="4:13" s="112" customFormat="1" ht="12.75">
      <c r="D342" s="205"/>
      <c r="E342" s="205"/>
      <c r="F342" s="205"/>
      <c r="G342" s="205"/>
      <c r="H342" s="205"/>
      <c r="I342" s="205"/>
      <c r="J342" s="205"/>
      <c r="K342" s="205"/>
      <c r="L342" s="205"/>
      <c r="M342" s="205"/>
    </row>
    <row r="343" spans="4:13" s="112" customFormat="1" ht="12.75">
      <c r="D343" s="205"/>
      <c r="E343" s="205"/>
      <c r="F343" s="205"/>
      <c r="G343" s="205"/>
      <c r="H343" s="205"/>
      <c r="I343" s="205"/>
      <c r="J343" s="205"/>
      <c r="K343" s="205"/>
      <c r="L343" s="205"/>
      <c r="M343" s="205"/>
    </row>
    <row r="344" spans="4:13" s="112" customFormat="1" ht="12.75">
      <c r="D344" s="205"/>
      <c r="E344" s="205"/>
      <c r="F344" s="205"/>
      <c r="G344" s="205"/>
      <c r="H344" s="205"/>
      <c r="I344" s="205"/>
      <c r="J344" s="205"/>
      <c r="K344" s="205"/>
      <c r="L344" s="205"/>
      <c r="M344" s="205"/>
    </row>
    <row r="345" spans="4:13" s="112" customFormat="1" ht="12.75">
      <c r="D345" s="205"/>
      <c r="E345" s="205"/>
      <c r="F345" s="205"/>
      <c r="G345" s="205"/>
      <c r="H345" s="205"/>
      <c r="I345" s="205"/>
      <c r="J345" s="205"/>
      <c r="K345" s="205"/>
      <c r="L345" s="205"/>
      <c r="M345" s="205"/>
    </row>
    <row r="346" spans="4:13" s="112" customFormat="1" ht="12.75">
      <c r="D346" s="205"/>
      <c r="E346" s="205"/>
      <c r="F346" s="205"/>
      <c r="G346" s="205"/>
      <c r="H346" s="205"/>
      <c r="I346" s="205"/>
      <c r="J346" s="205"/>
      <c r="K346" s="205"/>
      <c r="L346" s="205"/>
      <c r="M346" s="205"/>
    </row>
    <row r="347" spans="4:13" s="112" customFormat="1" ht="12.75">
      <c r="D347" s="205"/>
      <c r="E347" s="205"/>
      <c r="F347" s="205"/>
      <c r="G347" s="205"/>
      <c r="H347" s="205"/>
      <c r="I347" s="205"/>
      <c r="J347" s="205"/>
      <c r="K347" s="205"/>
      <c r="L347" s="205"/>
      <c r="M347" s="205"/>
    </row>
    <row r="348" spans="4:13" s="112" customFormat="1" ht="12.75">
      <c r="D348" s="205"/>
      <c r="E348" s="205"/>
      <c r="F348" s="205"/>
      <c r="G348" s="205"/>
      <c r="H348" s="205"/>
      <c r="I348" s="205"/>
      <c r="J348" s="205"/>
      <c r="K348" s="205"/>
      <c r="L348" s="205"/>
      <c r="M348" s="205"/>
    </row>
    <row r="349" spans="4:13" s="112" customFormat="1" ht="12.75">
      <c r="D349" s="205"/>
      <c r="E349" s="205"/>
      <c r="F349" s="205"/>
      <c r="G349" s="205"/>
      <c r="H349" s="205"/>
      <c r="I349" s="205"/>
      <c r="J349" s="205"/>
      <c r="K349" s="205"/>
      <c r="L349" s="205"/>
      <c r="M349" s="205"/>
    </row>
    <row r="350" spans="4:13" s="112" customFormat="1" ht="12.75">
      <c r="D350" s="205"/>
      <c r="E350" s="205"/>
      <c r="F350" s="205"/>
      <c r="G350" s="205"/>
      <c r="H350" s="205"/>
      <c r="I350" s="205"/>
      <c r="J350" s="205"/>
      <c r="K350" s="205"/>
      <c r="L350" s="205"/>
      <c r="M350" s="205"/>
    </row>
    <row r="351" spans="4:13" s="112" customFormat="1" ht="12.75">
      <c r="D351" s="205"/>
      <c r="E351" s="205"/>
      <c r="F351" s="205"/>
      <c r="G351" s="205"/>
      <c r="H351" s="205"/>
      <c r="I351" s="205"/>
      <c r="J351" s="205"/>
      <c r="K351" s="205"/>
      <c r="L351" s="205"/>
      <c r="M351" s="205"/>
    </row>
    <row r="352" spans="4:13" s="112" customFormat="1" ht="12.75">
      <c r="D352" s="205"/>
      <c r="E352" s="205"/>
      <c r="F352" s="205"/>
      <c r="G352" s="205"/>
      <c r="H352" s="205"/>
      <c r="I352" s="205"/>
      <c r="J352" s="205"/>
      <c r="K352" s="205"/>
      <c r="L352" s="205"/>
      <c r="M352" s="205"/>
    </row>
    <row r="353" spans="4:13" s="112" customFormat="1" ht="12.75">
      <c r="D353" s="205"/>
      <c r="E353" s="205"/>
      <c r="F353" s="205"/>
      <c r="G353" s="205"/>
      <c r="H353" s="205"/>
      <c r="I353" s="205"/>
      <c r="J353" s="205"/>
      <c r="K353" s="205"/>
      <c r="L353" s="205"/>
      <c r="M353" s="205"/>
    </row>
    <row r="354" spans="4:13" s="112" customFormat="1" ht="12.75">
      <c r="D354" s="205"/>
      <c r="E354" s="205"/>
      <c r="F354" s="205"/>
      <c r="G354" s="205"/>
      <c r="H354" s="205"/>
      <c r="I354" s="205"/>
      <c r="J354" s="205"/>
      <c r="K354" s="205"/>
      <c r="L354" s="205"/>
      <c r="M354" s="205"/>
    </row>
    <row r="355" spans="4:13" s="112" customFormat="1" ht="12.75">
      <c r="D355" s="205"/>
      <c r="E355" s="205"/>
      <c r="F355" s="205"/>
      <c r="G355" s="205"/>
      <c r="H355" s="205"/>
      <c r="I355" s="205"/>
      <c r="J355" s="205"/>
      <c r="K355" s="205"/>
      <c r="L355" s="205"/>
      <c r="M355" s="205"/>
    </row>
    <row r="356" spans="4:13" s="112" customFormat="1" ht="12.75">
      <c r="D356" s="205"/>
      <c r="E356" s="205"/>
      <c r="F356" s="205"/>
      <c r="G356" s="205"/>
      <c r="H356" s="205"/>
      <c r="I356" s="205"/>
      <c r="J356" s="205"/>
      <c r="K356" s="205"/>
      <c r="L356" s="205"/>
      <c r="M356" s="205"/>
    </row>
    <row r="357" spans="4:13" s="112" customFormat="1" ht="12.75">
      <c r="D357" s="205"/>
      <c r="E357" s="205"/>
      <c r="F357" s="205"/>
      <c r="G357" s="205"/>
      <c r="H357" s="205"/>
      <c r="I357" s="205"/>
      <c r="J357" s="205"/>
      <c r="K357" s="205"/>
      <c r="L357" s="205"/>
      <c r="M357" s="205"/>
    </row>
    <row r="358" spans="4:13" s="112" customFormat="1" ht="12.75">
      <c r="D358" s="205"/>
      <c r="E358" s="205"/>
      <c r="F358" s="205"/>
      <c r="G358" s="205"/>
      <c r="H358" s="205"/>
      <c r="I358" s="205"/>
      <c r="J358" s="205"/>
      <c r="K358" s="205"/>
      <c r="L358" s="205"/>
      <c r="M358" s="205"/>
    </row>
    <row r="359" spans="4:13" s="112" customFormat="1" ht="12.75">
      <c r="D359" s="205"/>
      <c r="E359" s="205"/>
      <c r="F359" s="205"/>
      <c r="G359" s="205"/>
      <c r="H359" s="205"/>
      <c r="I359" s="205"/>
      <c r="J359" s="205"/>
      <c r="K359" s="205"/>
      <c r="L359" s="205"/>
      <c r="M359" s="205"/>
    </row>
    <row r="360" spans="4:13" s="112" customFormat="1" ht="12.75">
      <c r="D360" s="205"/>
      <c r="E360" s="205"/>
      <c r="F360" s="205"/>
      <c r="G360" s="205"/>
      <c r="H360" s="205"/>
      <c r="I360" s="205"/>
      <c r="J360" s="205"/>
      <c r="K360" s="205"/>
      <c r="L360" s="205"/>
      <c r="M360" s="205"/>
    </row>
    <row r="361" spans="4:13" s="112" customFormat="1" ht="12.75">
      <c r="D361" s="205"/>
      <c r="E361" s="205"/>
      <c r="F361" s="205"/>
      <c r="G361" s="205"/>
      <c r="H361" s="205"/>
      <c r="I361" s="205"/>
      <c r="J361" s="205"/>
      <c r="K361" s="205"/>
      <c r="L361" s="205"/>
      <c r="M361" s="205"/>
    </row>
    <row r="362" spans="4:13" s="112" customFormat="1" ht="12.75">
      <c r="D362" s="205"/>
      <c r="E362" s="205"/>
      <c r="F362" s="205"/>
      <c r="G362" s="205"/>
      <c r="H362" s="205"/>
      <c r="I362" s="205"/>
      <c r="J362" s="205"/>
      <c r="K362" s="205"/>
      <c r="L362" s="205"/>
      <c r="M362" s="205"/>
    </row>
    <row r="363" spans="4:13" s="112" customFormat="1" ht="12.75">
      <c r="D363" s="205"/>
      <c r="E363" s="205"/>
      <c r="F363" s="205"/>
      <c r="G363" s="205"/>
      <c r="H363" s="205"/>
      <c r="I363" s="205"/>
      <c r="J363" s="205"/>
      <c r="K363" s="205"/>
      <c r="L363" s="205"/>
      <c r="M363" s="205"/>
    </row>
    <row r="364" spans="4:13" s="112" customFormat="1" ht="12.75">
      <c r="D364" s="205"/>
      <c r="E364" s="205"/>
      <c r="F364" s="205"/>
      <c r="G364" s="205"/>
      <c r="H364" s="205"/>
      <c r="I364" s="205"/>
      <c r="J364" s="205"/>
      <c r="K364" s="205"/>
      <c r="L364" s="205"/>
      <c r="M364" s="205"/>
    </row>
    <row r="365" spans="4:13" s="112" customFormat="1" ht="12.75">
      <c r="D365" s="205"/>
      <c r="E365" s="205"/>
      <c r="F365" s="205"/>
      <c r="G365" s="205"/>
      <c r="H365" s="205"/>
      <c r="I365" s="205"/>
      <c r="J365" s="205"/>
      <c r="K365" s="205"/>
      <c r="L365" s="205"/>
      <c r="M365" s="205"/>
    </row>
    <row r="366" spans="4:13" s="112" customFormat="1" ht="12.75">
      <c r="D366" s="205"/>
      <c r="E366" s="205"/>
      <c r="F366" s="205"/>
      <c r="G366" s="205"/>
      <c r="H366" s="205"/>
      <c r="I366" s="205"/>
      <c r="J366" s="205"/>
      <c r="K366" s="205"/>
      <c r="L366" s="205"/>
      <c r="M366" s="205"/>
    </row>
    <row r="367" spans="4:13" s="112" customFormat="1" ht="12.75">
      <c r="D367" s="205"/>
      <c r="E367" s="205"/>
      <c r="F367" s="205"/>
      <c r="G367" s="205"/>
      <c r="H367" s="205"/>
      <c r="I367" s="205"/>
      <c r="J367" s="205"/>
      <c r="K367" s="205"/>
      <c r="L367" s="205"/>
      <c r="M367" s="205"/>
    </row>
    <row r="368" spans="4:13" s="112" customFormat="1" ht="12.75">
      <c r="D368" s="205"/>
      <c r="E368" s="205"/>
      <c r="F368" s="205"/>
      <c r="G368" s="205"/>
      <c r="H368" s="205"/>
      <c r="I368" s="205"/>
      <c r="J368" s="205"/>
      <c r="K368" s="205"/>
      <c r="L368" s="205"/>
      <c r="M368" s="205"/>
    </row>
    <row r="369" spans="4:13" s="112" customFormat="1" ht="12.75">
      <c r="D369" s="205"/>
      <c r="E369" s="205"/>
      <c r="F369" s="205"/>
      <c r="G369" s="205"/>
      <c r="H369" s="205"/>
      <c r="I369" s="205"/>
      <c r="J369" s="205"/>
      <c r="K369" s="205"/>
      <c r="L369" s="205"/>
      <c r="M369" s="205"/>
    </row>
    <row r="370" spans="4:13" s="112" customFormat="1" ht="12.75">
      <c r="D370" s="205"/>
      <c r="E370" s="205"/>
      <c r="F370" s="205"/>
      <c r="G370" s="205"/>
      <c r="H370" s="205"/>
      <c r="I370" s="205"/>
      <c r="J370" s="205"/>
      <c r="K370" s="205"/>
      <c r="L370" s="205"/>
      <c r="M370" s="205"/>
    </row>
    <row r="371" spans="4:13" s="112" customFormat="1" ht="12.75">
      <c r="D371" s="205"/>
      <c r="E371" s="205"/>
      <c r="F371" s="205"/>
      <c r="G371" s="205"/>
      <c r="H371" s="205"/>
      <c r="I371" s="205"/>
      <c r="J371" s="205"/>
      <c r="K371" s="205"/>
      <c r="L371" s="205"/>
      <c r="M371" s="205"/>
    </row>
    <row r="372" spans="4:13" s="112" customFormat="1" ht="12.75">
      <c r="D372" s="205"/>
      <c r="E372" s="205"/>
      <c r="F372" s="205"/>
      <c r="G372" s="205"/>
      <c r="H372" s="205"/>
      <c r="I372" s="205"/>
      <c r="J372" s="205"/>
      <c r="K372" s="205"/>
      <c r="L372" s="205"/>
      <c r="M372" s="205"/>
    </row>
    <row r="373" spans="4:13" s="112" customFormat="1" ht="12.75">
      <c r="D373" s="205"/>
      <c r="E373" s="205"/>
      <c r="F373" s="205"/>
      <c r="G373" s="205"/>
      <c r="H373" s="205"/>
      <c r="I373" s="205"/>
      <c r="J373" s="205"/>
      <c r="K373" s="205"/>
      <c r="L373" s="205"/>
      <c r="M373" s="205"/>
    </row>
    <row r="374" spans="4:13" s="112" customFormat="1" ht="12.75">
      <c r="D374" s="205"/>
      <c r="E374" s="205"/>
      <c r="F374" s="205"/>
      <c r="G374" s="205"/>
      <c r="H374" s="205"/>
      <c r="I374" s="205"/>
      <c r="J374" s="205"/>
      <c r="K374" s="205"/>
      <c r="L374" s="205"/>
      <c r="M374" s="205"/>
    </row>
    <row r="375" spans="4:13" s="112" customFormat="1" ht="12.75">
      <c r="D375" s="205"/>
      <c r="E375" s="205"/>
      <c r="F375" s="205"/>
      <c r="G375" s="205"/>
      <c r="H375" s="205"/>
      <c r="I375" s="205"/>
      <c r="J375" s="205"/>
      <c r="K375" s="205"/>
      <c r="L375" s="205"/>
      <c r="M375" s="205"/>
    </row>
    <row r="376" spans="4:13" s="112" customFormat="1" ht="12.75">
      <c r="D376" s="205"/>
      <c r="E376" s="205"/>
      <c r="F376" s="205"/>
      <c r="G376" s="205"/>
      <c r="H376" s="205"/>
      <c r="I376" s="205"/>
      <c r="J376" s="205"/>
      <c r="K376" s="205"/>
      <c r="L376" s="205"/>
      <c r="M376" s="205"/>
    </row>
    <row r="377" spans="4:13" s="112" customFormat="1" ht="12.75">
      <c r="D377" s="205"/>
      <c r="E377" s="205"/>
      <c r="F377" s="205"/>
      <c r="G377" s="205"/>
      <c r="H377" s="205"/>
      <c r="I377" s="205"/>
      <c r="J377" s="205"/>
      <c r="K377" s="205"/>
      <c r="L377" s="205"/>
      <c r="M377" s="205"/>
    </row>
    <row r="378" spans="4:13" s="112" customFormat="1" ht="12.75">
      <c r="D378" s="205"/>
      <c r="E378" s="205"/>
      <c r="F378" s="205"/>
      <c r="G378" s="205"/>
      <c r="H378" s="205"/>
      <c r="I378" s="205"/>
      <c r="J378" s="205"/>
      <c r="K378" s="205"/>
      <c r="L378" s="205"/>
      <c r="M378" s="205"/>
    </row>
    <row r="379" spans="4:13" s="112" customFormat="1" ht="12.75">
      <c r="D379" s="205"/>
      <c r="E379" s="205"/>
      <c r="F379" s="205"/>
      <c r="G379" s="205"/>
      <c r="H379" s="205"/>
      <c r="I379" s="205"/>
      <c r="J379" s="205"/>
      <c r="K379" s="205"/>
      <c r="L379" s="205"/>
      <c r="M379" s="205"/>
    </row>
    <row r="380" spans="4:13" s="112" customFormat="1" ht="12.75">
      <c r="D380" s="205"/>
      <c r="E380" s="205"/>
      <c r="F380" s="205"/>
      <c r="G380" s="205"/>
      <c r="H380" s="205"/>
      <c r="I380" s="205"/>
      <c r="J380" s="205"/>
      <c r="K380" s="205"/>
      <c r="L380" s="205"/>
      <c r="M380" s="205"/>
    </row>
    <row r="381" spans="4:13" s="112" customFormat="1" ht="12.75">
      <c r="D381" s="205"/>
      <c r="E381" s="205"/>
      <c r="F381" s="205"/>
      <c r="G381" s="205"/>
      <c r="H381" s="205"/>
      <c r="I381" s="205"/>
      <c r="J381" s="205"/>
      <c r="K381" s="205"/>
      <c r="L381" s="205"/>
      <c r="M381" s="205"/>
    </row>
    <row r="382" spans="4:13" s="112" customFormat="1" ht="12.75">
      <c r="D382" s="205"/>
      <c r="E382" s="205"/>
      <c r="F382" s="205"/>
      <c r="G382" s="205"/>
      <c r="H382" s="205"/>
      <c r="I382" s="205"/>
      <c r="J382" s="205"/>
      <c r="K382" s="205"/>
      <c r="L382" s="205"/>
      <c r="M382" s="205"/>
    </row>
    <row r="383" spans="4:13" s="112" customFormat="1" ht="12.75">
      <c r="D383" s="205"/>
      <c r="E383" s="205"/>
      <c r="F383" s="205"/>
      <c r="G383" s="205"/>
      <c r="H383" s="205"/>
      <c r="I383" s="205"/>
      <c r="J383" s="205"/>
      <c r="K383" s="205"/>
      <c r="L383" s="205"/>
      <c r="M383" s="205"/>
    </row>
    <row r="384" spans="4:13" s="112" customFormat="1" ht="12.75">
      <c r="D384" s="205"/>
      <c r="E384" s="205"/>
      <c r="F384" s="205"/>
      <c r="G384" s="205"/>
      <c r="H384" s="205"/>
      <c r="I384" s="205"/>
      <c r="J384" s="205"/>
      <c r="K384" s="205"/>
      <c r="L384" s="205"/>
      <c r="M384" s="205"/>
    </row>
    <row r="385" spans="4:13" s="112" customFormat="1" ht="12.75">
      <c r="D385" s="205"/>
      <c r="E385" s="205"/>
      <c r="F385" s="205"/>
      <c r="G385" s="205"/>
      <c r="H385" s="205"/>
      <c r="I385" s="205"/>
      <c r="J385" s="205"/>
      <c r="K385" s="205"/>
      <c r="L385" s="205"/>
      <c r="M385" s="205"/>
    </row>
    <row r="386" spans="4:13" s="112" customFormat="1" ht="12.75">
      <c r="D386" s="205"/>
      <c r="E386" s="205"/>
      <c r="F386" s="205"/>
      <c r="G386" s="205"/>
      <c r="H386" s="205"/>
      <c r="I386" s="205"/>
      <c r="J386" s="205"/>
      <c r="K386" s="205"/>
      <c r="L386" s="205"/>
      <c r="M386" s="205"/>
    </row>
    <row r="387" spans="4:13" s="112" customFormat="1" ht="12.75">
      <c r="D387" s="205"/>
      <c r="E387" s="205"/>
      <c r="F387" s="205"/>
      <c r="G387" s="205"/>
      <c r="H387" s="205"/>
      <c r="I387" s="205"/>
      <c r="J387" s="205"/>
      <c r="K387" s="205"/>
      <c r="L387" s="205"/>
      <c r="M387" s="205"/>
    </row>
    <row r="388" spans="4:13" s="112" customFormat="1" ht="12.75">
      <c r="D388" s="205"/>
      <c r="E388" s="205"/>
      <c r="F388" s="205"/>
      <c r="G388" s="205"/>
      <c r="H388" s="205"/>
      <c r="I388" s="205"/>
      <c r="J388" s="205"/>
      <c r="K388" s="205"/>
      <c r="L388" s="205"/>
      <c r="M388" s="205"/>
    </row>
    <row r="389" spans="4:13" s="112" customFormat="1" ht="12.75">
      <c r="D389" s="205"/>
      <c r="E389" s="205"/>
      <c r="F389" s="205"/>
      <c r="G389" s="205"/>
      <c r="H389" s="205"/>
      <c r="I389" s="205"/>
      <c r="J389" s="205"/>
      <c r="K389" s="205"/>
      <c r="L389" s="205"/>
      <c r="M389" s="205"/>
    </row>
    <row r="390" spans="4:13" s="112" customFormat="1" ht="12.75">
      <c r="D390" s="205"/>
      <c r="E390" s="205"/>
      <c r="F390" s="205"/>
      <c r="G390" s="205"/>
      <c r="H390" s="205"/>
      <c r="I390" s="205"/>
      <c r="J390" s="205"/>
      <c r="K390" s="205"/>
      <c r="L390" s="205"/>
      <c r="M390" s="205"/>
    </row>
    <row r="391" spans="4:13" s="112" customFormat="1" ht="12.75">
      <c r="D391" s="205"/>
      <c r="E391" s="205"/>
      <c r="F391" s="205"/>
      <c r="G391" s="205"/>
      <c r="H391" s="205"/>
      <c r="I391" s="205"/>
      <c r="J391" s="205"/>
      <c r="K391" s="205"/>
      <c r="L391" s="205"/>
      <c r="M391" s="205"/>
    </row>
    <row r="392" spans="4:13" s="112" customFormat="1" ht="12.75">
      <c r="D392" s="205"/>
      <c r="E392" s="205"/>
      <c r="F392" s="205"/>
      <c r="G392" s="205"/>
      <c r="H392" s="205"/>
      <c r="I392" s="205"/>
      <c r="J392" s="205"/>
      <c r="K392" s="205"/>
      <c r="L392" s="205"/>
      <c r="M392" s="205"/>
    </row>
    <row r="393" spans="4:13" s="112" customFormat="1" ht="12.75">
      <c r="D393" s="205"/>
      <c r="E393" s="205"/>
      <c r="F393" s="205"/>
      <c r="G393" s="205"/>
      <c r="H393" s="205"/>
      <c r="I393" s="205"/>
      <c r="J393" s="205"/>
      <c r="K393" s="205"/>
      <c r="L393" s="205"/>
      <c r="M393" s="205"/>
    </row>
    <row r="394" spans="4:13" s="112" customFormat="1" ht="12.75">
      <c r="D394" s="205"/>
      <c r="E394" s="205"/>
      <c r="F394" s="205"/>
      <c r="G394" s="205"/>
      <c r="H394" s="205"/>
      <c r="I394" s="205"/>
      <c r="J394" s="205"/>
      <c r="K394" s="205"/>
      <c r="L394" s="205"/>
      <c r="M394" s="205"/>
    </row>
    <row r="395" spans="4:13" s="112" customFormat="1" ht="12.75">
      <c r="D395" s="205"/>
      <c r="E395" s="205"/>
      <c r="F395" s="205"/>
      <c r="G395" s="205"/>
      <c r="H395" s="205"/>
      <c r="I395" s="205"/>
      <c r="J395" s="205"/>
      <c r="K395" s="205"/>
      <c r="L395" s="205"/>
      <c r="M395" s="205"/>
    </row>
    <row r="396" spans="4:13" s="112" customFormat="1" ht="12.75">
      <c r="D396" s="205"/>
      <c r="E396" s="205"/>
      <c r="F396" s="205"/>
      <c r="G396" s="205"/>
      <c r="H396" s="205"/>
      <c r="I396" s="205"/>
      <c r="J396" s="205"/>
      <c r="K396" s="205"/>
      <c r="L396" s="205"/>
      <c r="M396" s="205"/>
    </row>
    <row r="397" spans="4:13" s="112" customFormat="1" ht="12.75">
      <c r="D397" s="205"/>
      <c r="E397" s="205"/>
      <c r="F397" s="205"/>
      <c r="G397" s="205"/>
      <c r="H397" s="205"/>
      <c r="I397" s="205"/>
      <c r="J397" s="205"/>
      <c r="K397" s="205"/>
      <c r="L397" s="205"/>
      <c r="M397" s="205"/>
    </row>
    <row r="398" spans="4:13" s="112" customFormat="1" ht="12.75">
      <c r="D398" s="205"/>
      <c r="E398" s="205"/>
      <c r="F398" s="205"/>
      <c r="G398" s="205"/>
      <c r="H398" s="205"/>
      <c r="I398" s="205"/>
      <c r="J398" s="205"/>
      <c r="K398" s="205"/>
      <c r="L398" s="205"/>
      <c r="M398" s="205"/>
    </row>
    <row r="399" spans="4:13" s="112" customFormat="1" ht="12.75">
      <c r="D399" s="205"/>
      <c r="E399" s="205"/>
      <c r="F399" s="205"/>
      <c r="G399" s="205"/>
      <c r="H399" s="205"/>
      <c r="I399" s="205"/>
      <c r="J399" s="205"/>
      <c r="K399" s="205"/>
      <c r="L399" s="205"/>
      <c r="M399" s="205"/>
    </row>
    <row r="400" spans="4:13" s="112" customFormat="1" ht="12.75">
      <c r="D400" s="205"/>
      <c r="E400" s="205"/>
      <c r="F400" s="205"/>
      <c r="G400" s="205"/>
      <c r="H400" s="205"/>
      <c r="I400" s="205"/>
      <c r="J400" s="205"/>
      <c r="K400" s="205"/>
      <c r="L400" s="205"/>
      <c r="M400" s="205"/>
    </row>
    <row r="401" spans="4:13" s="112" customFormat="1" ht="12.75">
      <c r="D401" s="205"/>
      <c r="E401" s="205"/>
      <c r="F401" s="205"/>
      <c r="G401" s="205"/>
      <c r="H401" s="205"/>
      <c r="I401" s="205"/>
      <c r="J401" s="205"/>
      <c r="K401" s="205"/>
      <c r="L401" s="205"/>
      <c r="M401" s="205"/>
    </row>
    <row r="402" spans="4:13" s="112" customFormat="1" ht="12.75">
      <c r="D402" s="205"/>
      <c r="E402" s="205"/>
      <c r="F402" s="205"/>
      <c r="G402" s="205"/>
      <c r="H402" s="205"/>
      <c r="I402" s="205"/>
      <c r="J402" s="205"/>
      <c r="K402" s="205"/>
      <c r="L402" s="205"/>
      <c r="M402" s="205"/>
    </row>
    <row r="403" spans="4:13" s="112" customFormat="1" ht="12.75">
      <c r="D403" s="205"/>
      <c r="E403" s="205"/>
      <c r="F403" s="205"/>
      <c r="G403" s="205"/>
      <c r="H403" s="205"/>
      <c r="I403" s="205"/>
      <c r="J403" s="205"/>
      <c r="K403" s="205"/>
      <c r="L403" s="205"/>
      <c r="M403" s="205"/>
    </row>
    <row r="404" spans="4:13" s="112" customFormat="1" ht="12.75">
      <c r="D404" s="205"/>
      <c r="E404" s="205"/>
      <c r="F404" s="205"/>
      <c r="G404" s="205"/>
      <c r="H404" s="205"/>
      <c r="I404" s="205"/>
      <c r="J404" s="205"/>
      <c r="K404" s="205"/>
      <c r="L404" s="205"/>
      <c r="M404" s="205"/>
    </row>
    <row r="405" spans="4:13" s="112" customFormat="1" ht="12.75">
      <c r="D405" s="205"/>
      <c r="E405" s="205"/>
      <c r="F405" s="205"/>
      <c r="G405" s="205"/>
      <c r="H405" s="205"/>
      <c r="I405" s="205"/>
      <c r="J405" s="205"/>
      <c r="K405" s="205"/>
      <c r="L405" s="205"/>
      <c r="M405" s="205"/>
    </row>
    <row r="406" spans="4:13" s="112" customFormat="1" ht="12.75">
      <c r="D406" s="205"/>
      <c r="E406" s="205"/>
      <c r="F406" s="205"/>
      <c r="G406" s="205"/>
      <c r="H406" s="205"/>
      <c r="I406" s="205"/>
      <c r="J406" s="205"/>
      <c r="K406" s="205"/>
      <c r="L406" s="205"/>
      <c r="M406" s="205"/>
    </row>
    <row r="407" spans="4:13" s="112" customFormat="1" ht="12.75">
      <c r="D407" s="205"/>
      <c r="E407" s="205"/>
      <c r="F407" s="205"/>
      <c r="G407" s="205"/>
      <c r="H407" s="205"/>
      <c r="I407" s="205"/>
      <c r="J407" s="205"/>
      <c r="K407" s="205"/>
      <c r="L407" s="205"/>
      <c r="M407" s="205"/>
    </row>
    <row r="408" spans="4:13" s="112" customFormat="1" ht="12.75">
      <c r="D408" s="205"/>
      <c r="E408" s="205"/>
      <c r="F408" s="205"/>
      <c r="G408" s="205"/>
      <c r="H408" s="205"/>
      <c r="I408" s="205"/>
      <c r="J408" s="205"/>
      <c r="K408" s="205"/>
      <c r="L408" s="205"/>
      <c r="M408" s="205"/>
    </row>
    <row r="409" spans="4:13" s="112" customFormat="1" ht="12.75">
      <c r="D409" s="205"/>
      <c r="E409" s="205"/>
      <c r="F409" s="205"/>
      <c r="G409" s="205"/>
      <c r="H409" s="205"/>
      <c r="I409" s="205"/>
      <c r="J409" s="205"/>
      <c r="K409" s="205"/>
      <c r="L409" s="205"/>
      <c r="M409" s="205"/>
    </row>
    <row r="410" spans="4:13" s="112" customFormat="1" ht="12.75">
      <c r="D410" s="205"/>
      <c r="E410" s="205"/>
      <c r="F410" s="205"/>
      <c r="G410" s="205"/>
      <c r="H410" s="205"/>
      <c r="I410" s="205"/>
      <c r="J410" s="205"/>
      <c r="K410" s="205"/>
      <c r="L410" s="205"/>
      <c r="M410" s="205"/>
    </row>
    <row r="411" spans="4:13" s="112" customFormat="1" ht="12.75">
      <c r="D411" s="205"/>
      <c r="E411" s="205"/>
      <c r="F411" s="205"/>
      <c r="G411" s="205"/>
      <c r="H411" s="205"/>
      <c r="I411" s="205"/>
      <c r="J411" s="205"/>
      <c r="K411" s="205"/>
      <c r="L411" s="205"/>
      <c r="M411" s="205"/>
    </row>
    <row r="412" spans="4:13" s="112" customFormat="1" ht="12.75">
      <c r="D412" s="205"/>
      <c r="E412" s="205"/>
      <c r="F412" s="205"/>
      <c r="G412" s="205"/>
      <c r="H412" s="205"/>
      <c r="I412" s="205"/>
      <c r="J412" s="205"/>
      <c r="K412" s="205"/>
      <c r="L412" s="205"/>
      <c r="M412" s="205"/>
    </row>
    <row r="413" spans="4:13" s="112" customFormat="1" ht="12.75">
      <c r="D413" s="205"/>
      <c r="E413" s="205"/>
      <c r="F413" s="205"/>
      <c r="G413" s="205"/>
      <c r="H413" s="205"/>
      <c r="I413" s="205"/>
      <c r="J413" s="205"/>
      <c r="K413" s="205"/>
      <c r="L413" s="205"/>
      <c r="M413" s="205"/>
    </row>
    <row r="414" spans="4:13" s="112" customFormat="1" ht="12.75">
      <c r="D414" s="205"/>
      <c r="E414" s="205"/>
      <c r="F414" s="205"/>
      <c r="G414" s="205"/>
      <c r="H414" s="205"/>
      <c r="I414" s="205"/>
      <c r="J414" s="205"/>
      <c r="K414" s="205"/>
      <c r="L414" s="205"/>
      <c r="M414" s="205"/>
    </row>
    <row r="415" spans="4:13" s="112" customFormat="1" ht="12.75">
      <c r="D415" s="205"/>
      <c r="E415" s="205"/>
      <c r="F415" s="205"/>
      <c r="G415" s="205"/>
      <c r="H415" s="205"/>
      <c r="I415" s="205"/>
      <c r="J415" s="205"/>
      <c r="K415" s="205"/>
      <c r="L415" s="205"/>
      <c r="M415" s="205"/>
    </row>
    <row r="416" spans="4:13" s="112" customFormat="1" ht="12.75">
      <c r="D416" s="205"/>
      <c r="E416" s="205"/>
      <c r="F416" s="205"/>
      <c r="G416" s="205"/>
      <c r="H416" s="205"/>
      <c r="I416" s="205"/>
      <c r="J416" s="205"/>
      <c r="K416" s="205"/>
      <c r="L416" s="205"/>
      <c r="M416" s="205"/>
    </row>
    <row r="417" spans="4:13" s="112" customFormat="1" ht="12.75">
      <c r="D417" s="205"/>
      <c r="E417" s="205"/>
      <c r="F417" s="205"/>
      <c r="G417" s="205"/>
      <c r="H417" s="205"/>
      <c r="I417" s="205"/>
      <c r="J417" s="205"/>
      <c r="K417" s="205"/>
      <c r="L417" s="205"/>
      <c r="M417" s="205"/>
    </row>
    <row r="418" spans="4:13" s="112" customFormat="1" ht="12.75">
      <c r="D418" s="205"/>
      <c r="E418" s="205"/>
      <c r="F418" s="205"/>
      <c r="G418" s="205"/>
      <c r="H418" s="205"/>
      <c r="I418" s="205"/>
      <c r="J418" s="205"/>
      <c r="K418" s="205"/>
      <c r="L418" s="205"/>
      <c r="M418" s="205"/>
    </row>
    <row r="419" spans="4:13" s="112" customFormat="1" ht="12.75">
      <c r="D419" s="205"/>
      <c r="E419" s="205"/>
      <c r="F419" s="205"/>
      <c r="G419" s="205"/>
      <c r="H419" s="205"/>
      <c r="I419" s="205"/>
      <c r="J419" s="205"/>
      <c r="K419" s="205"/>
      <c r="L419" s="205"/>
      <c r="M419" s="205"/>
    </row>
    <row r="420" spans="4:13" s="112" customFormat="1" ht="12.75">
      <c r="D420" s="205"/>
      <c r="E420" s="205"/>
      <c r="F420" s="205"/>
      <c r="G420" s="205"/>
      <c r="H420" s="205"/>
      <c r="I420" s="205"/>
      <c r="J420" s="205"/>
      <c r="K420" s="205"/>
      <c r="L420" s="205"/>
      <c r="M420" s="205"/>
    </row>
    <row r="421" spans="4:13" s="112" customFormat="1" ht="12.75">
      <c r="D421" s="205"/>
      <c r="E421" s="205"/>
      <c r="F421" s="205"/>
      <c r="G421" s="205"/>
      <c r="H421" s="205"/>
      <c r="I421" s="205"/>
      <c r="J421" s="205"/>
      <c r="K421" s="205"/>
      <c r="L421" s="205"/>
      <c r="M421" s="205"/>
    </row>
    <row r="422" spans="4:13" s="112" customFormat="1" ht="12.75">
      <c r="D422" s="205"/>
      <c r="E422" s="205"/>
      <c r="F422" s="205"/>
      <c r="G422" s="205"/>
      <c r="H422" s="205"/>
      <c r="I422" s="205"/>
      <c r="J422" s="205"/>
      <c r="K422" s="205"/>
      <c r="L422" s="205"/>
      <c r="M422" s="205"/>
    </row>
    <row r="423" spans="4:13" s="112" customFormat="1" ht="12.75">
      <c r="D423" s="205"/>
      <c r="E423" s="205"/>
      <c r="F423" s="205"/>
      <c r="G423" s="205"/>
      <c r="H423" s="205"/>
      <c r="I423" s="205"/>
      <c r="J423" s="205"/>
      <c r="K423" s="205"/>
      <c r="L423" s="205"/>
      <c r="M423" s="205"/>
    </row>
    <row r="424" spans="4:13" s="112" customFormat="1" ht="12.75">
      <c r="D424" s="205"/>
      <c r="E424" s="205"/>
      <c r="F424" s="205"/>
      <c r="G424" s="205"/>
      <c r="H424" s="205"/>
      <c r="I424" s="205"/>
      <c r="J424" s="205"/>
      <c r="K424" s="205"/>
      <c r="L424" s="205"/>
      <c r="M424" s="205"/>
    </row>
    <row r="425" spans="4:13" s="112" customFormat="1" ht="12.75">
      <c r="D425" s="205"/>
      <c r="E425" s="205"/>
      <c r="F425" s="205"/>
      <c r="G425" s="205"/>
      <c r="H425" s="205"/>
      <c r="I425" s="205"/>
      <c r="J425" s="205"/>
      <c r="K425" s="205"/>
      <c r="L425" s="205"/>
      <c r="M425" s="205"/>
    </row>
    <row r="426" spans="4:13" s="112" customFormat="1" ht="12.75">
      <c r="D426" s="205"/>
      <c r="E426" s="205"/>
      <c r="F426" s="205"/>
      <c r="G426" s="205"/>
      <c r="H426" s="205"/>
      <c r="I426" s="205"/>
      <c r="J426" s="205"/>
      <c r="K426" s="205"/>
      <c r="L426" s="205"/>
      <c r="M426" s="205"/>
    </row>
    <row r="427" spans="4:13" s="112" customFormat="1" ht="12.75">
      <c r="D427" s="205"/>
      <c r="E427" s="205"/>
      <c r="F427" s="205"/>
      <c r="G427" s="205"/>
      <c r="H427" s="205"/>
      <c r="I427" s="205"/>
      <c r="J427" s="205"/>
      <c r="K427" s="205"/>
      <c r="L427" s="205"/>
      <c r="M427" s="205"/>
    </row>
    <row r="428" spans="4:13" s="112" customFormat="1" ht="12.75">
      <c r="D428" s="205"/>
      <c r="E428" s="205"/>
      <c r="F428" s="205"/>
      <c r="G428" s="205"/>
      <c r="H428" s="205"/>
      <c r="I428" s="205"/>
      <c r="J428" s="205"/>
      <c r="K428" s="205"/>
      <c r="L428" s="205"/>
      <c r="M428" s="205"/>
    </row>
    <row r="429" spans="4:13" s="112" customFormat="1" ht="12.75">
      <c r="D429" s="205"/>
      <c r="E429" s="205"/>
      <c r="F429" s="205"/>
      <c r="G429" s="205"/>
      <c r="H429" s="205"/>
      <c r="I429" s="205"/>
      <c r="J429" s="205"/>
      <c r="K429" s="205"/>
      <c r="L429" s="205"/>
      <c r="M429" s="205"/>
    </row>
    <row r="430" spans="4:13" s="112" customFormat="1" ht="12.75">
      <c r="D430" s="205"/>
      <c r="E430" s="205"/>
      <c r="F430" s="205"/>
      <c r="G430" s="205"/>
      <c r="H430" s="205"/>
      <c r="I430" s="205"/>
      <c r="J430" s="205"/>
      <c r="K430" s="205"/>
      <c r="L430" s="205"/>
      <c r="M430" s="205"/>
    </row>
    <row r="431" spans="4:13" s="112" customFormat="1" ht="12.75">
      <c r="D431" s="205"/>
      <c r="E431" s="205"/>
      <c r="F431" s="205"/>
      <c r="G431" s="205"/>
      <c r="H431" s="205"/>
      <c r="I431" s="205"/>
      <c r="J431" s="205"/>
      <c r="K431" s="205"/>
      <c r="L431" s="205"/>
      <c r="M431" s="205"/>
    </row>
    <row r="432" spans="4:13" s="112" customFormat="1" ht="12.75">
      <c r="D432" s="205"/>
      <c r="E432" s="205"/>
      <c r="F432" s="205"/>
      <c r="G432" s="205"/>
      <c r="H432" s="205"/>
      <c r="I432" s="205"/>
      <c r="J432" s="205"/>
      <c r="K432" s="205"/>
      <c r="L432" s="205"/>
      <c r="M432" s="205"/>
    </row>
    <row r="433" spans="4:13" s="112" customFormat="1" ht="12.75">
      <c r="D433" s="205"/>
      <c r="E433" s="205"/>
      <c r="F433" s="205"/>
      <c r="G433" s="205"/>
      <c r="H433" s="205"/>
      <c r="I433" s="205"/>
      <c r="J433" s="205"/>
      <c r="K433" s="205"/>
      <c r="L433" s="205"/>
      <c r="M433" s="205"/>
    </row>
    <row r="434" spans="4:13" s="112" customFormat="1" ht="12.75">
      <c r="D434" s="205"/>
      <c r="E434" s="205"/>
      <c r="F434" s="205"/>
      <c r="G434" s="205"/>
      <c r="H434" s="205"/>
      <c r="I434" s="205"/>
      <c r="J434" s="205"/>
      <c r="K434" s="205"/>
      <c r="L434" s="205"/>
      <c r="M434" s="205"/>
    </row>
    <row r="435" spans="4:13" s="112" customFormat="1" ht="12.75">
      <c r="D435" s="205"/>
      <c r="E435" s="205"/>
      <c r="F435" s="205"/>
      <c r="G435" s="205"/>
      <c r="H435" s="205"/>
      <c r="I435" s="205"/>
      <c r="J435" s="205"/>
      <c r="K435" s="205"/>
      <c r="L435" s="205"/>
      <c r="M435" s="205"/>
    </row>
    <row r="436" spans="4:13" s="112" customFormat="1" ht="12.75">
      <c r="D436" s="205"/>
      <c r="E436" s="205"/>
      <c r="F436" s="205"/>
      <c r="G436" s="205"/>
      <c r="H436" s="205"/>
      <c r="I436" s="205"/>
      <c r="J436" s="205"/>
      <c r="K436" s="205"/>
      <c r="L436" s="205"/>
      <c r="M436" s="205"/>
    </row>
    <row r="437" spans="4:13" s="112" customFormat="1" ht="12.75">
      <c r="D437" s="205"/>
      <c r="E437" s="205"/>
      <c r="F437" s="205"/>
      <c r="G437" s="205"/>
      <c r="H437" s="205"/>
      <c r="I437" s="205"/>
      <c r="J437" s="205"/>
      <c r="K437" s="205"/>
      <c r="L437" s="205"/>
      <c r="M437" s="205"/>
    </row>
    <row r="438" spans="4:13" s="112" customFormat="1" ht="12.75">
      <c r="D438" s="205"/>
      <c r="E438" s="205"/>
      <c r="F438" s="205"/>
      <c r="G438" s="205"/>
      <c r="H438" s="205"/>
      <c r="I438" s="205"/>
      <c r="J438" s="205"/>
      <c r="K438" s="205"/>
      <c r="L438" s="205"/>
      <c r="M438" s="205"/>
    </row>
    <row r="439" spans="4:13" s="112" customFormat="1" ht="12.75">
      <c r="D439" s="205"/>
      <c r="E439" s="205"/>
      <c r="F439" s="205"/>
      <c r="G439" s="205"/>
      <c r="H439" s="205"/>
      <c r="I439" s="205"/>
      <c r="J439" s="205"/>
      <c r="K439" s="205"/>
      <c r="L439" s="205"/>
      <c r="M439" s="205"/>
    </row>
    <row r="440" spans="4:13" s="112" customFormat="1" ht="12.75">
      <c r="D440" s="205"/>
      <c r="E440" s="205"/>
      <c r="F440" s="205"/>
      <c r="G440" s="205"/>
      <c r="H440" s="205"/>
      <c r="I440" s="205"/>
      <c r="J440" s="205"/>
      <c r="K440" s="205"/>
      <c r="L440" s="205"/>
      <c r="M440" s="205"/>
    </row>
    <row r="441" spans="4:13" s="112" customFormat="1" ht="12.75">
      <c r="D441" s="205"/>
      <c r="E441" s="205"/>
      <c r="F441" s="205"/>
      <c r="G441" s="205"/>
      <c r="H441" s="205"/>
      <c r="I441" s="205"/>
      <c r="J441" s="205"/>
      <c r="K441" s="205"/>
      <c r="L441" s="205"/>
      <c r="M441" s="205"/>
    </row>
    <row r="442" spans="4:13" s="112" customFormat="1" ht="12.75">
      <c r="D442" s="205"/>
      <c r="E442" s="205"/>
      <c r="F442" s="205"/>
      <c r="G442" s="205"/>
      <c r="H442" s="205"/>
      <c r="I442" s="205"/>
      <c r="J442" s="205"/>
      <c r="K442" s="205"/>
      <c r="L442" s="205"/>
      <c r="M442" s="205"/>
    </row>
    <row r="443" spans="4:13" s="112" customFormat="1" ht="12.75">
      <c r="D443" s="205"/>
      <c r="E443" s="205"/>
      <c r="F443" s="205"/>
      <c r="G443" s="205"/>
      <c r="H443" s="205"/>
      <c r="I443" s="205"/>
      <c r="J443" s="205"/>
      <c r="K443" s="205"/>
      <c r="L443" s="205"/>
      <c r="M443" s="205"/>
    </row>
    <row r="444" spans="4:13" s="112" customFormat="1" ht="12.75">
      <c r="D444" s="205"/>
      <c r="E444" s="205"/>
      <c r="F444" s="205"/>
      <c r="G444" s="205"/>
      <c r="H444" s="205"/>
      <c r="I444" s="205"/>
      <c r="J444" s="205"/>
      <c r="K444" s="205"/>
      <c r="L444" s="205"/>
      <c r="M444" s="205"/>
    </row>
    <row r="445" spans="4:13" s="112" customFormat="1" ht="12.75">
      <c r="D445" s="205"/>
      <c r="E445" s="205"/>
      <c r="F445" s="205"/>
      <c r="G445" s="205"/>
      <c r="H445" s="205"/>
      <c r="I445" s="205"/>
      <c r="J445" s="205"/>
      <c r="K445" s="205"/>
      <c r="L445" s="205"/>
      <c r="M445" s="205"/>
    </row>
    <row r="446" spans="4:13" s="112" customFormat="1" ht="12.75">
      <c r="D446" s="205"/>
      <c r="E446" s="205"/>
      <c r="F446" s="205"/>
      <c r="G446" s="205"/>
      <c r="H446" s="205"/>
      <c r="I446" s="205"/>
      <c r="J446" s="205"/>
      <c r="K446" s="205"/>
      <c r="L446" s="205"/>
      <c r="M446" s="205"/>
    </row>
    <row r="447" spans="4:13" s="112" customFormat="1" ht="12.75">
      <c r="D447" s="205"/>
      <c r="E447" s="205"/>
      <c r="F447" s="205"/>
      <c r="G447" s="205"/>
      <c r="H447" s="205"/>
      <c r="I447" s="205"/>
      <c r="J447" s="205"/>
      <c r="K447" s="205"/>
      <c r="L447" s="205"/>
      <c r="M447" s="205"/>
    </row>
    <row r="448" spans="4:13" s="112" customFormat="1" ht="12.75">
      <c r="D448" s="205"/>
      <c r="E448" s="205"/>
      <c r="F448" s="205"/>
      <c r="G448" s="205"/>
      <c r="H448" s="205"/>
      <c r="I448" s="205"/>
      <c r="J448" s="205"/>
      <c r="K448" s="205"/>
      <c r="L448" s="205"/>
      <c r="M448" s="205"/>
    </row>
    <row r="449" spans="4:13" s="112" customFormat="1" ht="12.75">
      <c r="D449" s="205"/>
      <c r="E449" s="205"/>
      <c r="F449" s="205"/>
      <c r="G449" s="205"/>
      <c r="H449" s="205"/>
      <c r="I449" s="205"/>
      <c r="J449" s="205"/>
      <c r="K449" s="205"/>
      <c r="L449" s="205"/>
      <c r="M449" s="205"/>
    </row>
    <row r="450" spans="4:13" s="112" customFormat="1" ht="12.75">
      <c r="D450" s="205"/>
      <c r="E450" s="205"/>
      <c r="F450" s="205"/>
      <c r="G450" s="205"/>
      <c r="H450" s="205"/>
      <c r="I450" s="205"/>
      <c r="J450" s="205"/>
      <c r="K450" s="205"/>
      <c r="L450" s="205"/>
      <c r="M450" s="205"/>
    </row>
    <row r="451" spans="4:13" s="112" customFormat="1" ht="12.75">
      <c r="D451" s="205"/>
      <c r="E451" s="205"/>
      <c r="F451" s="205"/>
      <c r="G451" s="205"/>
      <c r="H451" s="205"/>
      <c r="I451" s="205"/>
      <c r="J451" s="205"/>
      <c r="K451" s="205"/>
      <c r="L451" s="205"/>
      <c r="M451" s="205"/>
    </row>
    <row r="452" spans="4:13" s="112" customFormat="1" ht="12.75">
      <c r="D452" s="205"/>
      <c r="E452" s="205"/>
      <c r="F452" s="205"/>
      <c r="G452" s="205"/>
      <c r="H452" s="205"/>
      <c r="I452" s="205"/>
      <c r="J452" s="205"/>
      <c r="K452" s="205"/>
      <c r="L452" s="205"/>
      <c r="M452" s="205"/>
    </row>
    <row r="453" spans="4:13" s="112" customFormat="1" ht="12.75">
      <c r="D453" s="205"/>
      <c r="E453" s="205"/>
      <c r="F453" s="205"/>
      <c r="G453" s="205"/>
      <c r="H453" s="205"/>
      <c r="I453" s="205"/>
      <c r="J453" s="205"/>
      <c r="K453" s="205"/>
      <c r="L453" s="205"/>
      <c r="M453" s="205"/>
    </row>
    <row r="454" spans="4:13" s="112" customFormat="1" ht="12.75">
      <c r="D454" s="205"/>
      <c r="E454" s="205"/>
      <c r="F454" s="205"/>
      <c r="G454" s="205"/>
      <c r="H454" s="205"/>
      <c r="I454" s="205"/>
      <c r="J454" s="205"/>
      <c r="K454" s="205"/>
      <c r="L454" s="205"/>
      <c r="M454" s="205"/>
    </row>
    <row r="455" spans="4:13" s="112" customFormat="1" ht="12.75">
      <c r="D455" s="205"/>
      <c r="E455" s="205"/>
      <c r="F455" s="205"/>
      <c r="G455" s="205"/>
      <c r="H455" s="205"/>
      <c r="I455" s="205"/>
      <c r="J455" s="205"/>
      <c r="K455" s="205"/>
      <c r="L455" s="205"/>
      <c r="M455" s="205"/>
    </row>
    <row r="456" spans="4:13" s="112" customFormat="1" ht="12.75">
      <c r="D456" s="205"/>
      <c r="E456" s="205"/>
      <c r="F456" s="205"/>
      <c r="G456" s="205"/>
      <c r="H456" s="205"/>
      <c r="I456" s="205"/>
      <c r="J456" s="205"/>
      <c r="K456" s="205"/>
      <c r="L456" s="205"/>
      <c r="M456" s="205"/>
    </row>
    <row r="457" spans="4:13" s="112" customFormat="1" ht="12.75">
      <c r="D457" s="205"/>
      <c r="E457" s="205"/>
      <c r="F457" s="205"/>
      <c r="G457" s="205"/>
      <c r="H457" s="205"/>
      <c r="I457" s="205"/>
      <c r="J457" s="205"/>
      <c r="K457" s="205"/>
      <c r="L457" s="205"/>
      <c r="M457" s="205"/>
    </row>
    <row r="458" spans="4:13" s="112" customFormat="1" ht="12.75">
      <c r="D458" s="205"/>
      <c r="E458" s="205"/>
      <c r="F458" s="205"/>
      <c r="G458" s="205"/>
      <c r="H458" s="205"/>
      <c r="I458" s="205"/>
      <c r="J458" s="205"/>
      <c r="K458" s="205"/>
      <c r="L458" s="205"/>
      <c r="M458" s="205"/>
    </row>
    <row r="459" spans="4:13" s="112" customFormat="1" ht="12.75">
      <c r="D459" s="205"/>
      <c r="E459" s="205"/>
      <c r="F459" s="205"/>
      <c r="G459" s="205"/>
      <c r="H459" s="205"/>
      <c r="I459" s="205"/>
      <c r="J459" s="205"/>
      <c r="K459" s="205"/>
      <c r="L459" s="205"/>
      <c r="M459" s="205"/>
    </row>
    <row r="460" spans="4:13" s="112" customFormat="1" ht="12.75">
      <c r="D460" s="205"/>
      <c r="E460" s="205"/>
      <c r="F460" s="205"/>
      <c r="G460" s="205"/>
      <c r="H460" s="205"/>
      <c r="I460" s="205"/>
      <c r="J460" s="205"/>
      <c r="K460" s="205"/>
      <c r="L460" s="205"/>
      <c r="M460" s="205"/>
    </row>
    <row r="461" spans="4:13" s="112" customFormat="1" ht="12.75">
      <c r="D461" s="205"/>
      <c r="E461" s="205"/>
      <c r="F461" s="205"/>
      <c r="G461" s="205"/>
      <c r="H461" s="205"/>
      <c r="I461" s="205"/>
      <c r="J461" s="205"/>
      <c r="K461" s="205"/>
      <c r="L461" s="205"/>
      <c r="M461" s="205"/>
    </row>
    <row r="462" spans="4:13" s="112" customFormat="1" ht="12.75">
      <c r="D462" s="205"/>
      <c r="E462" s="205"/>
      <c r="F462" s="205"/>
      <c r="G462" s="205"/>
      <c r="H462" s="205"/>
      <c r="I462" s="205"/>
      <c r="J462" s="205"/>
      <c r="K462" s="205"/>
      <c r="L462" s="205"/>
      <c r="M462" s="205"/>
    </row>
    <row r="463" spans="4:13" s="112" customFormat="1" ht="12.75">
      <c r="D463" s="205"/>
      <c r="E463" s="205"/>
      <c r="F463" s="205"/>
      <c r="G463" s="205"/>
      <c r="H463" s="205"/>
      <c r="I463" s="205"/>
      <c r="J463" s="205"/>
      <c r="K463" s="205"/>
      <c r="L463" s="205"/>
      <c r="M463" s="205"/>
    </row>
    <row r="464" spans="4:13" s="112" customFormat="1" ht="12.75">
      <c r="D464" s="205"/>
      <c r="E464" s="205"/>
      <c r="F464" s="205"/>
      <c r="G464" s="205"/>
      <c r="H464" s="205"/>
      <c r="I464" s="205"/>
      <c r="J464" s="205"/>
      <c r="K464" s="205"/>
      <c r="L464" s="205"/>
      <c r="M464" s="205"/>
    </row>
    <row r="465" spans="4:13" s="112" customFormat="1" ht="12.75">
      <c r="D465" s="205"/>
      <c r="E465" s="205"/>
      <c r="F465" s="205"/>
      <c r="G465" s="205"/>
      <c r="H465" s="205"/>
      <c r="I465" s="205"/>
      <c r="J465" s="205"/>
      <c r="K465" s="205"/>
      <c r="L465" s="205"/>
      <c r="M465" s="205"/>
    </row>
    <row r="466" spans="4:13" s="112" customFormat="1" ht="12.75">
      <c r="D466" s="205"/>
      <c r="E466" s="205"/>
      <c r="F466" s="205"/>
      <c r="G466" s="205"/>
      <c r="H466" s="205"/>
      <c r="I466" s="205"/>
      <c r="J466" s="205"/>
      <c r="K466" s="205"/>
      <c r="L466" s="205"/>
      <c r="M466" s="205"/>
    </row>
    <row r="467" spans="4:13" s="112" customFormat="1" ht="12.75">
      <c r="D467" s="205"/>
      <c r="E467" s="205"/>
      <c r="F467" s="205"/>
      <c r="G467" s="205"/>
      <c r="H467" s="205"/>
      <c r="I467" s="205"/>
      <c r="J467" s="205"/>
      <c r="K467" s="205"/>
      <c r="L467" s="205"/>
      <c r="M467" s="205"/>
    </row>
    <row r="468" spans="4:13" s="112" customFormat="1" ht="12.75">
      <c r="D468" s="205"/>
      <c r="E468" s="205"/>
      <c r="F468" s="205"/>
      <c r="G468" s="205"/>
      <c r="H468" s="205"/>
      <c r="I468" s="205"/>
      <c r="J468" s="205"/>
      <c r="K468" s="205"/>
      <c r="L468" s="205"/>
      <c r="M468" s="205"/>
    </row>
    <row r="469" spans="4:13" s="112" customFormat="1" ht="12.75">
      <c r="D469" s="205"/>
      <c r="E469" s="205"/>
      <c r="F469" s="205"/>
      <c r="G469" s="205"/>
      <c r="H469" s="205"/>
      <c r="I469" s="205"/>
      <c r="J469" s="205"/>
      <c r="K469" s="205"/>
      <c r="L469" s="205"/>
      <c r="M469" s="205"/>
    </row>
    <row r="470" spans="4:13" s="112" customFormat="1" ht="12.75">
      <c r="D470" s="205"/>
      <c r="E470" s="205"/>
      <c r="F470" s="205"/>
      <c r="G470" s="205"/>
      <c r="H470" s="205"/>
      <c r="I470" s="205"/>
      <c r="J470" s="205"/>
      <c r="K470" s="205"/>
      <c r="L470" s="205"/>
      <c r="M470" s="205"/>
    </row>
    <row r="471" spans="4:13" s="112" customFormat="1" ht="12.75">
      <c r="D471" s="205"/>
      <c r="E471" s="205"/>
      <c r="F471" s="205"/>
      <c r="G471" s="205"/>
      <c r="H471" s="205"/>
      <c r="I471" s="205"/>
      <c r="J471" s="205"/>
      <c r="K471" s="205"/>
      <c r="L471" s="205"/>
      <c r="M471" s="205"/>
    </row>
    <row r="472" spans="4:13" s="112" customFormat="1" ht="12.75">
      <c r="D472" s="205"/>
      <c r="E472" s="205"/>
      <c r="F472" s="205"/>
      <c r="G472" s="205"/>
      <c r="H472" s="205"/>
      <c r="I472" s="205"/>
      <c r="J472" s="205"/>
      <c r="K472" s="205"/>
      <c r="L472" s="205"/>
      <c r="M472" s="205"/>
    </row>
    <row r="473" spans="4:13" s="112" customFormat="1" ht="12.75">
      <c r="D473" s="205"/>
      <c r="E473" s="205"/>
      <c r="F473" s="205"/>
      <c r="G473" s="205"/>
      <c r="H473" s="205"/>
      <c r="I473" s="205"/>
      <c r="J473" s="205"/>
      <c r="K473" s="205"/>
      <c r="L473" s="205"/>
      <c r="M473" s="205"/>
    </row>
    <row r="474" spans="4:13" s="112" customFormat="1" ht="12.75">
      <c r="D474" s="205"/>
      <c r="E474" s="205"/>
      <c r="F474" s="205"/>
      <c r="G474" s="205"/>
      <c r="H474" s="205"/>
      <c r="I474" s="205"/>
      <c r="J474" s="205"/>
      <c r="K474" s="205"/>
      <c r="L474" s="205"/>
      <c r="M474" s="205"/>
    </row>
    <row r="475" spans="4:13" s="112" customFormat="1" ht="12.75">
      <c r="D475" s="205"/>
      <c r="E475" s="205"/>
      <c r="F475" s="205"/>
      <c r="G475" s="205"/>
      <c r="H475" s="205"/>
      <c r="I475" s="205"/>
      <c r="J475" s="205"/>
      <c r="K475" s="205"/>
      <c r="L475" s="205"/>
      <c r="M475" s="205"/>
    </row>
    <row r="476" spans="4:13" s="112" customFormat="1" ht="12.75">
      <c r="D476" s="205"/>
      <c r="E476" s="205"/>
      <c r="F476" s="205"/>
      <c r="G476" s="205"/>
      <c r="H476" s="205"/>
      <c r="I476" s="205"/>
      <c r="J476" s="205"/>
      <c r="K476" s="205"/>
      <c r="L476" s="205"/>
      <c r="M476" s="205"/>
    </row>
    <row r="477" spans="4:13" s="112" customFormat="1" ht="12.75">
      <c r="D477" s="205"/>
      <c r="E477" s="205"/>
      <c r="F477" s="205"/>
      <c r="G477" s="205"/>
      <c r="H477" s="205"/>
      <c r="I477" s="205"/>
      <c r="J477" s="205"/>
      <c r="K477" s="205"/>
      <c r="L477" s="205"/>
      <c r="M477" s="205"/>
    </row>
    <row r="478" spans="4:13" s="112" customFormat="1" ht="12.75">
      <c r="D478" s="205"/>
      <c r="E478" s="205"/>
      <c r="F478" s="205"/>
      <c r="G478" s="205"/>
      <c r="H478" s="205"/>
      <c r="I478" s="205"/>
      <c r="J478" s="205"/>
      <c r="K478" s="205"/>
      <c r="L478" s="205"/>
      <c r="M478" s="205"/>
    </row>
    <row r="479" spans="4:13" s="112" customFormat="1" ht="12.75">
      <c r="D479" s="205"/>
      <c r="E479" s="205"/>
      <c r="F479" s="205"/>
      <c r="G479" s="205"/>
      <c r="H479" s="205"/>
      <c r="I479" s="205"/>
      <c r="J479" s="205"/>
      <c r="K479" s="205"/>
      <c r="L479" s="205"/>
      <c r="M479" s="205"/>
    </row>
    <row r="480" spans="4:13" s="112" customFormat="1" ht="12.75">
      <c r="D480" s="205"/>
      <c r="E480" s="205"/>
      <c r="F480" s="205"/>
      <c r="G480" s="205"/>
      <c r="H480" s="205"/>
      <c r="I480" s="205"/>
      <c r="J480" s="205"/>
      <c r="K480" s="205"/>
      <c r="L480" s="205"/>
      <c r="M480" s="205"/>
    </row>
    <row r="481" spans="4:13" s="112" customFormat="1" ht="12.75">
      <c r="D481" s="205"/>
      <c r="E481" s="205"/>
      <c r="F481" s="205"/>
      <c r="G481" s="205"/>
      <c r="H481" s="205"/>
      <c r="I481" s="205"/>
      <c r="J481" s="205"/>
      <c r="K481" s="205"/>
      <c r="L481" s="205"/>
      <c r="M481" s="205"/>
    </row>
    <row r="482" spans="4:13" s="112" customFormat="1" ht="12.75">
      <c r="D482" s="205"/>
      <c r="E482" s="205"/>
      <c r="F482" s="205"/>
      <c r="G482" s="205"/>
      <c r="H482" s="205"/>
      <c r="I482" s="205"/>
      <c r="J482" s="205"/>
      <c r="K482" s="205"/>
      <c r="L482" s="205"/>
      <c r="M482" s="205"/>
    </row>
    <row r="483" spans="4:13" s="112" customFormat="1" ht="12.75">
      <c r="D483" s="205"/>
      <c r="E483" s="205"/>
      <c r="F483" s="205"/>
      <c r="G483" s="205"/>
      <c r="H483" s="205"/>
      <c r="I483" s="205"/>
      <c r="J483" s="205"/>
      <c r="K483" s="205"/>
      <c r="L483" s="205"/>
      <c r="M483" s="205"/>
    </row>
    <row r="484" spans="4:13" s="112" customFormat="1" ht="12.75">
      <c r="D484" s="205"/>
      <c r="E484" s="205"/>
      <c r="F484" s="205"/>
      <c r="G484" s="205"/>
      <c r="H484" s="205"/>
      <c r="I484" s="205"/>
      <c r="J484" s="205"/>
      <c r="K484" s="205"/>
      <c r="L484" s="205"/>
      <c r="M484" s="205"/>
    </row>
    <row r="485" spans="4:13" s="112" customFormat="1" ht="12.75">
      <c r="D485" s="205"/>
      <c r="E485" s="205"/>
      <c r="F485" s="205"/>
      <c r="G485" s="205"/>
      <c r="H485" s="205"/>
      <c r="I485" s="205"/>
      <c r="J485" s="205"/>
      <c r="K485" s="205"/>
      <c r="L485" s="205"/>
      <c r="M485" s="205"/>
    </row>
    <row r="486" spans="4:13" s="112" customFormat="1" ht="12.75">
      <c r="D486" s="205"/>
      <c r="E486" s="205"/>
      <c r="F486" s="205"/>
      <c r="G486" s="205"/>
      <c r="H486" s="205"/>
      <c r="I486" s="205"/>
      <c r="J486" s="205"/>
      <c r="K486" s="205"/>
      <c r="L486" s="205"/>
      <c r="M486" s="205"/>
    </row>
    <row r="487" spans="4:13" s="112" customFormat="1" ht="12.75">
      <c r="D487" s="205"/>
      <c r="E487" s="205"/>
      <c r="F487" s="205"/>
      <c r="G487" s="205"/>
      <c r="H487" s="205"/>
      <c r="I487" s="205"/>
      <c r="J487" s="205"/>
      <c r="K487" s="205"/>
      <c r="L487" s="205"/>
      <c r="M487" s="205"/>
    </row>
    <row r="488" spans="4:13" s="112" customFormat="1" ht="12.75">
      <c r="D488" s="205"/>
      <c r="E488" s="205"/>
      <c r="F488" s="205"/>
      <c r="G488" s="205"/>
      <c r="H488" s="205"/>
      <c r="I488" s="205"/>
      <c r="J488" s="205"/>
      <c r="K488" s="205"/>
      <c r="L488" s="205"/>
      <c r="M488" s="205"/>
    </row>
    <row r="489" spans="4:13" s="112" customFormat="1" ht="12.75">
      <c r="D489" s="205"/>
      <c r="E489" s="205"/>
      <c r="F489" s="205"/>
      <c r="G489" s="205"/>
      <c r="H489" s="205"/>
      <c r="I489" s="205"/>
      <c r="J489" s="205"/>
      <c r="K489" s="205"/>
      <c r="L489" s="205"/>
      <c r="M489" s="205"/>
    </row>
    <row r="490" spans="4:13" s="112" customFormat="1" ht="12.75">
      <c r="D490" s="205"/>
      <c r="E490" s="205"/>
      <c r="F490" s="205"/>
      <c r="G490" s="205"/>
      <c r="H490" s="205"/>
      <c r="I490" s="205"/>
      <c r="J490" s="205"/>
      <c r="K490" s="205"/>
      <c r="L490" s="205"/>
      <c r="M490" s="205"/>
    </row>
    <row r="491" spans="4:13" s="112" customFormat="1" ht="12.75">
      <c r="D491" s="205"/>
      <c r="E491" s="205"/>
      <c r="F491" s="205"/>
      <c r="G491" s="205"/>
      <c r="H491" s="205"/>
      <c r="I491" s="205"/>
      <c r="J491" s="205"/>
      <c r="K491" s="205"/>
      <c r="L491" s="205"/>
      <c r="M491" s="205"/>
    </row>
    <row r="492" spans="4:13" s="112" customFormat="1" ht="12.75">
      <c r="D492" s="205"/>
      <c r="E492" s="205"/>
      <c r="F492" s="205"/>
      <c r="G492" s="205"/>
      <c r="H492" s="205"/>
      <c r="I492" s="205"/>
      <c r="J492" s="205"/>
      <c r="K492" s="205"/>
      <c r="L492" s="205"/>
      <c r="M492" s="205"/>
    </row>
    <row r="493" spans="4:13" s="112" customFormat="1" ht="12.75">
      <c r="D493" s="205"/>
      <c r="E493" s="205"/>
      <c r="F493" s="205"/>
      <c r="G493" s="205"/>
      <c r="H493" s="205"/>
      <c r="I493" s="205"/>
      <c r="J493" s="205"/>
      <c r="K493" s="205"/>
      <c r="L493" s="205"/>
      <c r="M493" s="205"/>
    </row>
    <row r="494" spans="4:13" s="112" customFormat="1" ht="12.75">
      <c r="D494" s="205"/>
      <c r="E494" s="205"/>
      <c r="F494" s="205"/>
      <c r="G494" s="205"/>
      <c r="H494" s="205"/>
      <c r="I494" s="205"/>
      <c r="J494" s="205"/>
      <c r="K494" s="205"/>
      <c r="L494" s="205"/>
      <c r="M494" s="205"/>
    </row>
    <row r="495" spans="4:13" s="112" customFormat="1" ht="12.75">
      <c r="D495" s="205"/>
      <c r="E495" s="205"/>
      <c r="F495" s="205"/>
      <c r="G495" s="205"/>
      <c r="H495" s="205"/>
      <c r="I495" s="205"/>
      <c r="J495" s="205"/>
      <c r="K495" s="205"/>
      <c r="L495" s="205"/>
      <c r="M495" s="205"/>
    </row>
    <row r="496" spans="4:13" s="112" customFormat="1" ht="12.75">
      <c r="D496" s="205"/>
      <c r="E496" s="205"/>
      <c r="F496" s="205"/>
      <c r="G496" s="205"/>
      <c r="H496" s="205"/>
      <c r="I496" s="205"/>
      <c r="J496" s="205"/>
      <c r="K496" s="205"/>
      <c r="L496" s="205"/>
      <c r="M496" s="205"/>
    </row>
    <row r="497" spans="4:13" s="112" customFormat="1" ht="12.75">
      <c r="D497" s="205"/>
      <c r="E497" s="205"/>
      <c r="F497" s="205"/>
      <c r="G497" s="205"/>
      <c r="H497" s="205"/>
      <c r="I497" s="205"/>
      <c r="J497" s="205"/>
      <c r="K497" s="205"/>
      <c r="L497" s="205"/>
      <c r="M497" s="205"/>
    </row>
    <row r="498" spans="4:13" s="112" customFormat="1" ht="12.75">
      <c r="D498" s="205"/>
      <c r="E498" s="205"/>
      <c r="F498" s="205"/>
      <c r="G498" s="205"/>
      <c r="H498" s="205"/>
      <c r="I498" s="205"/>
      <c r="J498" s="205"/>
      <c r="K498" s="205"/>
      <c r="L498" s="205"/>
      <c r="M498" s="205"/>
    </row>
    <row r="499" spans="4:13" s="112" customFormat="1" ht="12.75">
      <c r="D499" s="205"/>
      <c r="E499" s="205"/>
      <c r="F499" s="205"/>
      <c r="G499" s="205"/>
      <c r="H499" s="205"/>
      <c r="I499" s="205"/>
      <c r="J499" s="205"/>
      <c r="K499" s="205"/>
      <c r="L499" s="205"/>
      <c r="M499" s="205"/>
    </row>
    <row r="500" spans="4:13" s="112" customFormat="1" ht="12.75">
      <c r="D500" s="205"/>
      <c r="E500" s="205"/>
      <c r="F500" s="205"/>
      <c r="G500" s="205"/>
      <c r="H500" s="205"/>
      <c r="I500" s="205"/>
      <c r="J500" s="205"/>
      <c r="K500" s="205"/>
      <c r="L500" s="205"/>
      <c r="M500" s="205"/>
    </row>
    <row r="501" spans="4:13" s="112" customFormat="1" ht="12.75">
      <c r="D501" s="205"/>
      <c r="E501" s="205"/>
      <c r="F501" s="205"/>
      <c r="G501" s="205"/>
      <c r="H501" s="205"/>
      <c r="I501" s="205"/>
      <c r="J501" s="205"/>
      <c r="K501" s="205"/>
      <c r="L501" s="205"/>
      <c r="M501" s="205"/>
    </row>
    <row r="502" spans="4:13" s="112" customFormat="1" ht="12.75">
      <c r="D502" s="205"/>
      <c r="E502" s="205"/>
      <c r="F502" s="205"/>
      <c r="G502" s="205"/>
      <c r="H502" s="205"/>
      <c r="I502" s="205"/>
      <c r="J502" s="205"/>
      <c r="K502" s="205"/>
      <c r="L502" s="205"/>
      <c r="M502" s="205"/>
    </row>
    <row r="503" spans="4:13" s="112" customFormat="1" ht="12.75">
      <c r="D503" s="205"/>
      <c r="E503" s="205"/>
      <c r="F503" s="205"/>
      <c r="G503" s="205"/>
      <c r="H503" s="205"/>
      <c r="I503" s="205"/>
      <c r="J503" s="205"/>
      <c r="K503" s="205"/>
      <c r="L503" s="205"/>
      <c r="M503" s="205"/>
    </row>
    <row r="504" spans="4:13" s="112" customFormat="1" ht="12.75">
      <c r="D504" s="205"/>
      <c r="E504" s="205"/>
      <c r="F504" s="205"/>
      <c r="G504" s="205"/>
      <c r="H504" s="205"/>
      <c r="I504" s="205"/>
      <c r="J504" s="205"/>
      <c r="K504" s="205"/>
      <c r="L504" s="205"/>
      <c r="M504" s="205"/>
    </row>
    <row r="505" spans="4:13" s="112" customFormat="1" ht="12.75">
      <c r="D505" s="205"/>
      <c r="E505" s="205"/>
      <c r="F505" s="205"/>
      <c r="G505" s="205"/>
      <c r="H505" s="205"/>
      <c r="I505" s="205"/>
      <c r="J505" s="205"/>
      <c r="K505" s="205"/>
      <c r="L505" s="205"/>
      <c r="M505" s="205"/>
    </row>
    <row r="506" spans="4:13" s="112" customFormat="1" ht="12.75">
      <c r="D506" s="205"/>
      <c r="E506" s="205"/>
      <c r="F506" s="205"/>
      <c r="G506" s="205"/>
      <c r="H506" s="205"/>
      <c r="I506" s="205"/>
      <c r="J506" s="205"/>
      <c r="K506" s="205"/>
      <c r="L506" s="205"/>
      <c r="M506" s="205"/>
    </row>
    <row r="507" spans="4:13" s="112" customFormat="1" ht="12.75">
      <c r="D507" s="205"/>
      <c r="E507" s="205"/>
      <c r="F507" s="205"/>
      <c r="G507" s="205"/>
      <c r="H507" s="205"/>
      <c r="I507" s="205"/>
      <c r="J507" s="205"/>
      <c r="K507" s="205"/>
      <c r="L507" s="205"/>
      <c r="M507" s="205"/>
    </row>
    <row r="508" spans="4:13" s="112" customFormat="1" ht="12.75">
      <c r="D508" s="205"/>
      <c r="E508" s="205"/>
      <c r="F508" s="205"/>
      <c r="G508" s="205"/>
      <c r="H508" s="205"/>
      <c r="I508" s="205"/>
      <c r="J508" s="205"/>
      <c r="K508" s="205"/>
      <c r="L508" s="205"/>
      <c r="M508" s="205"/>
    </row>
    <row r="509" spans="4:13" s="112" customFormat="1" ht="12.75">
      <c r="D509" s="205"/>
      <c r="E509" s="205"/>
      <c r="F509" s="205"/>
      <c r="G509" s="205"/>
      <c r="H509" s="205"/>
      <c r="I509" s="205"/>
      <c r="J509" s="205"/>
      <c r="K509" s="205"/>
      <c r="L509" s="205"/>
      <c r="M509" s="205"/>
    </row>
    <row r="510" spans="4:13" s="112" customFormat="1" ht="12.75">
      <c r="D510" s="205"/>
      <c r="E510" s="205"/>
      <c r="F510" s="205"/>
      <c r="G510" s="205"/>
      <c r="H510" s="205"/>
      <c r="I510" s="205"/>
      <c r="J510" s="205"/>
      <c r="K510" s="205"/>
      <c r="L510" s="205"/>
      <c r="M510" s="205"/>
    </row>
    <row r="511" spans="4:13" s="112" customFormat="1" ht="12.75">
      <c r="D511" s="205"/>
      <c r="E511" s="205"/>
      <c r="F511" s="205"/>
      <c r="G511" s="205"/>
      <c r="H511" s="205"/>
      <c r="I511" s="205"/>
      <c r="J511" s="205"/>
      <c r="K511" s="205"/>
      <c r="L511" s="205"/>
      <c r="M511" s="205"/>
    </row>
    <row r="512" spans="4:13" s="112" customFormat="1" ht="12.75">
      <c r="D512" s="205"/>
      <c r="E512" s="205"/>
      <c r="F512" s="205"/>
      <c r="G512" s="205"/>
      <c r="H512" s="205"/>
      <c r="I512" s="205"/>
      <c r="J512" s="205"/>
      <c r="K512" s="205"/>
      <c r="L512" s="205"/>
      <c r="M512" s="205"/>
    </row>
    <row r="513" spans="4:13" s="112" customFormat="1" ht="12.75">
      <c r="D513" s="205"/>
      <c r="E513" s="205"/>
      <c r="F513" s="205"/>
      <c r="G513" s="205"/>
      <c r="H513" s="205"/>
      <c r="I513" s="205"/>
      <c r="J513" s="205"/>
      <c r="K513" s="205"/>
      <c r="L513" s="205"/>
      <c r="M513" s="205"/>
    </row>
    <row r="514" spans="4:13" s="112" customFormat="1" ht="12.75">
      <c r="D514" s="205"/>
      <c r="E514" s="205"/>
      <c r="F514" s="205"/>
      <c r="G514" s="205"/>
      <c r="H514" s="205"/>
      <c r="I514" s="205"/>
      <c r="J514" s="205"/>
      <c r="K514" s="205"/>
      <c r="L514" s="205"/>
      <c r="M514" s="205"/>
    </row>
    <row r="515" spans="4:13" s="112" customFormat="1" ht="12.75">
      <c r="D515" s="205"/>
      <c r="E515" s="205"/>
      <c r="F515" s="205"/>
      <c r="G515" s="205"/>
      <c r="H515" s="205"/>
      <c r="I515" s="205"/>
      <c r="J515" s="205"/>
      <c r="K515" s="205"/>
      <c r="L515" s="205"/>
      <c r="M515" s="205"/>
    </row>
    <row r="516" spans="4:13" s="112" customFormat="1" ht="12.75">
      <c r="D516" s="205"/>
      <c r="E516" s="205"/>
      <c r="F516" s="205"/>
      <c r="G516" s="205"/>
      <c r="H516" s="205"/>
      <c r="I516" s="205"/>
      <c r="J516" s="205"/>
      <c r="K516" s="205"/>
      <c r="L516" s="205"/>
      <c r="M516" s="205"/>
    </row>
    <row r="517" spans="4:13" s="112" customFormat="1" ht="12.75">
      <c r="D517" s="205"/>
      <c r="E517" s="205"/>
      <c r="F517" s="205"/>
      <c r="G517" s="205"/>
      <c r="H517" s="205"/>
      <c r="I517" s="205"/>
      <c r="J517" s="205"/>
      <c r="K517" s="205"/>
      <c r="L517" s="205"/>
      <c r="M517" s="205"/>
    </row>
    <row r="518" spans="4:13" s="112" customFormat="1" ht="12.75">
      <c r="D518" s="205"/>
      <c r="E518" s="205"/>
      <c r="F518" s="205"/>
      <c r="G518" s="205"/>
      <c r="H518" s="205"/>
      <c r="I518" s="205"/>
      <c r="J518" s="205"/>
      <c r="K518" s="205"/>
      <c r="L518" s="205"/>
      <c r="M518" s="205"/>
    </row>
    <row r="519" spans="4:13" s="112" customFormat="1" ht="12.75">
      <c r="D519" s="205"/>
      <c r="E519" s="205"/>
      <c r="F519" s="205"/>
      <c r="G519" s="205"/>
      <c r="H519" s="205"/>
      <c r="I519" s="205"/>
      <c r="J519" s="205"/>
      <c r="K519" s="205"/>
      <c r="L519" s="205"/>
      <c r="M519" s="205"/>
    </row>
    <row r="520" spans="4:13" s="112" customFormat="1" ht="12.75">
      <c r="D520" s="205"/>
      <c r="E520" s="205"/>
      <c r="F520" s="205"/>
      <c r="G520" s="205"/>
      <c r="H520" s="205"/>
      <c r="I520" s="205"/>
      <c r="J520" s="205"/>
      <c r="K520" s="205"/>
      <c r="L520" s="205"/>
      <c r="M520" s="205"/>
    </row>
    <row r="521" spans="4:13" s="112" customFormat="1" ht="12.75">
      <c r="D521" s="205"/>
      <c r="E521" s="205"/>
      <c r="F521" s="205"/>
      <c r="G521" s="205"/>
      <c r="H521" s="205"/>
      <c r="I521" s="205"/>
      <c r="J521" s="205"/>
      <c r="K521" s="205"/>
      <c r="L521" s="205"/>
      <c r="M521" s="205"/>
    </row>
    <row r="522" spans="4:13" s="112" customFormat="1" ht="12.75">
      <c r="D522" s="205"/>
      <c r="E522" s="205"/>
      <c r="F522" s="205"/>
      <c r="G522" s="205"/>
      <c r="H522" s="205"/>
      <c r="I522" s="205"/>
      <c r="J522" s="205"/>
      <c r="K522" s="205"/>
      <c r="L522" s="205"/>
      <c r="M522" s="205"/>
    </row>
    <row r="523" spans="4:13" s="112" customFormat="1" ht="12.75">
      <c r="D523" s="205"/>
      <c r="E523" s="205"/>
      <c r="F523" s="205"/>
      <c r="G523" s="205"/>
      <c r="H523" s="205"/>
      <c r="I523" s="205"/>
      <c r="J523" s="205"/>
      <c r="K523" s="205"/>
      <c r="L523" s="205"/>
      <c r="M523" s="205"/>
    </row>
    <row r="524" spans="4:13" s="112" customFormat="1" ht="12.75">
      <c r="D524" s="205"/>
      <c r="E524" s="205"/>
      <c r="F524" s="205"/>
      <c r="G524" s="205"/>
      <c r="H524" s="205"/>
      <c r="I524" s="205"/>
      <c r="J524" s="205"/>
      <c r="K524" s="205"/>
      <c r="L524" s="205"/>
      <c r="M524" s="205"/>
    </row>
    <row r="525" spans="4:13" s="112" customFormat="1" ht="12.75">
      <c r="D525" s="205"/>
      <c r="E525" s="205"/>
      <c r="F525" s="205"/>
      <c r="G525" s="205"/>
      <c r="H525" s="205"/>
      <c r="I525" s="205"/>
      <c r="J525" s="205"/>
      <c r="K525" s="205"/>
      <c r="L525" s="205"/>
      <c r="M525" s="205"/>
    </row>
    <row r="526" spans="4:13" s="112" customFormat="1" ht="12.75">
      <c r="D526" s="205"/>
      <c r="E526" s="205"/>
      <c r="F526" s="205"/>
      <c r="G526" s="205"/>
      <c r="H526" s="205"/>
      <c r="I526" s="205"/>
      <c r="J526" s="205"/>
      <c r="K526" s="205"/>
      <c r="L526" s="205"/>
      <c r="M526" s="205"/>
    </row>
    <row r="527" spans="4:13" s="112" customFormat="1" ht="12.75">
      <c r="D527" s="205"/>
      <c r="E527" s="205"/>
      <c r="F527" s="205"/>
      <c r="G527" s="205"/>
      <c r="H527" s="205"/>
      <c r="I527" s="205"/>
      <c r="J527" s="205"/>
      <c r="K527" s="205"/>
      <c r="L527" s="205"/>
      <c r="M527" s="205"/>
    </row>
    <row r="528" spans="4:13" s="112" customFormat="1" ht="12.75">
      <c r="D528" s="205"/>
      <c r="E528" s="205"/>
      <c r="F528" s="205"/>
      <c r="G528" s="205"/>
      <c r="H528" s="205"/>
      <c r="I528" s="205"/>
      <c r="J528" s="205"/>
      <c r="K528" s="205"/>
      <c r="L528" s="205"/>
      <c r="M528" s="205"/>
    </row>
    <row r="529" spans="4:13" s="112" customFormat="1" ht="12.75">
      <c r="D529" s="205"/>
      <c r="E529" s="205"/>
      <c r="F529" s="205"/>
      <c r="G529" s="205"/>
      <c r="H529" s="205"/>
      <c r="I529" s="205"/>
      <c r="J529" s="205"/>
      <c r="K529" s="205"/>
      <c r="L529" s="205"/>
      <c r="M529" s="205"/>
    </row>
    <row r="530" spans="4:13" s="112" customFormat="1" ht="12.75">
      <c r="D530" s="205"/>
      <c r="E530" s="205"/>
      <c r="F530" s="205"/>
      <c r="G530" s="205"/>
      <c r="H530" s="205"/>
      <c r="I530" s="205"/>
      <c r="J530" s="205"/>
      <c r="K530" s="205"/>
      <c r="L530" s="205"/>
      <c r="M530" s="205"/>
    </row>
    <row r="531" spans="4:13" s="112" customFormat="1" ht="12.75">
      <c r="D531" s="205"/>
      <c r="E531" s="205"/>
      <c r="F531" s="205"/>
      <c r="G531" s="205"/>
      <c r="H531" s="205"/>
      <c r="I531" s="205"/>
      <c r="J531" s="205"/>
      <c r="K531" s="205"/>
      <c r="L531" s="205"/>
      <c r="M531" s="205"/>
    </row>
    <row r="532" spans="4:13" s="112" customFormat="1" ht="12.75">
      <c r="D532" s="205"/>
      <c r="E532" s="205"/>
      <c r="F532" s="205"/>
      <c r="G532" s="205"/>
      <c r="H532" s="205"/>
      <c r="I532" s="205"/>
      <c r="J532" s="205"/>
      <c r="K532" s="205"/>
      <c r="L532" s="205"/>
      <c r="M532" s="205"/>
    </row>
    <row r="533" spans="4:13" s="112" customFormat="1" ht="12.75">
      <c r="D533" s="205"/>
      <c r="E533" s="205"/>
      <c r="F533" s="205"/>
      <c r="G533" s="205"/>
      <c r="H533" s="205"/>
      <c r="I533" s="205"/>
      <c r="J533" s="205"/>
      <c r="K533" s="205"/>
      <c r="L533" s="205"/>
      <c r="M533" s="205"/>
    </row>
    <row r="534" spans="4:13" s="112" customFormat="1" ht="12.75">
      <c r="D534" s="205"/>
      <c r="E534" s="205"/>
      <c r="F534" s="205"/>
      <c r="G534" s="205"/>
      <c r="H534" s="205"/>
      <c r="I534" s="205"/>
      <c r="J534" s="205"/>
      <c r="K534" s="205"/>
      <c r="L534" s="205"/>
      <c r="M534" s="205"/>
    </row>
    <row r="535" spans="4:13" s="112" customFormat="1" ht="12.75">
      <c r="D535" s="205"/>
      <c r="E535" s="205"/>
      <c r="F535" s="205"/>
      <c r="G535" s="205"/>
      <c r="H535" s="205"/>
      <c r="I535" s="205"/>
      <c r="J535" s="205"/>
      <c r="K535" s="205"/>
      <c r="L535" s="205"/>
      <c r="M535" s="205"/>
    </row>
    <row r="536" spans="4:13" s="112" customFormat="1" ht="12.75">
      <c r="D536" s="205"/>
      <c r="E536" s="205"/>
      <c r="F536" s="205"/>
      <c r="G536" s="205"/>
      <c r="H536" s="205"/>
      <c r="I536" s="205"/>
      <c r="J536" s="205"/>
      <c r="K536" s="205"/>
      <c r="L536" s="205"/>
      <c r="M536" s="205"/>
    </row>
    <row r="537" spans="4:13" s="112" customFormat="1" ht="12.75">
      <c r="D537" s="205"/>
      <c r="E537" s="205"/>
      <c r="F537" s="205"/>
      <c r="G537" s="205"/>
      <c r="H537" s="205"/>
      <c r="I537" s="205"/>
      <c r="J537" s="205"/>
      <c r="K537" s="205"/>
      <c r="L537" s="205"/>
      <c r="M537" s="205"/>
    </row>
    <row r="538" spans="4:13" s="112" customFormat="1" ht="12.75">
      <c r="D538" s="205"/>
      <c r="E538" s="205"/>
      <c r="F538" s="205"/>
      <c r="G538" s="205"/>
      <c r="H538" s="205"/>
      <c r="I538" s="205"/>
      <c r="J538" s="205"/>
      <c r="K538" s="205"/>
      <c r="L538" s="205"/>
      <c r="M538" s="205"/>
    </row>
    <row r="539" spans="4:13" s="112" customFormat="1" ht="12.75">
      <c r="D539" s="205"/>
      <c r="E539" s="205"/>
      <c r="F539" s="205"/>
      <c r="G539" s="205"/>
      <c r="H539" s="205"/>
      <c r="I539" s="205"/>
      <c r="J539" s="205"/>
      <c r="K539" s="205"/>
      <c r="L539" s="205"/>
      <c r="M539" s="205"/>
    </row>
    <row r="540" spans="4:13" s="112" customFormat="1" ht="12.75">
      <c r="D540" s="205"/>
      <c r="E540" s="205"/>
      <c r="F540" s="205"/>
      <c r="G540" s="205"/>
      <c r="H540" s="205"/>
      <c r="I540" s="205"/>
      <c r="J540" s="205"/>
      <c r="K540" s="205"/>
      <c r="L540" s="205"/>
      <c r="M540" s="205"/>
    </row>
    <row r="541" spans="4:13" s="112" customFormat="1" ht="12.75">
      <c r="D541" s="205"/>
      <c r="E541" s="205"/>
      <c r="F541" s="205"/>
      <c r="G541" s="205"/>
      <c r="H541" s="205"/>
      <c r="I541" s="205"/>
      <c r="J541" s="205"/>
      <c r="K541" s="205"/>
      <c r="L541" s="205"/>
      <c r="M541" s="205"/>
    </row>
    <row r="542" spans="4:13" s="112" customFormat="1" ht="12.75">
      <c r="D542" s="205"/>
      <c r="E542" s="205"/>
      <c r="F542" s="205"/>
      <c r="G542" s="205"/>
      <c r="H542" s="205"/>
      <c r="I542" s="205"/>
      <c r="J542" s="205"/>
      <c r="K542" s="205"/>
      <c r="L542" s="205"/>
      <c r="M542" s="205"/>
    </row>
    <row r="543" spans="4:13" s="112" customFormat="1" ht="12.75">
      <c r="D543" s="205"/>
      <c r="E543" s="205"/>
      <c r="F543" s="205"/>
      <c r="G543" s="205"/>
      <c r="H543" s="205"/>
      <c r="I543" s="205"/>
      <c r="J543" s="205"/>
      <c r="K543" s="205"/>
      <c r="L543" s="205"/>
      <c r="M543" s="205"/>
    </row>
    <row r="544" spans="4:13" s="112" customFormat="1" ht="12.75">
      <c r="D544" s="205"/>
      <c r="E544" s="205"/>
      <c r="F544" s="205"/>
      <c r="G544" s="205"/>
      <c r="H544" s="205"/>
      <c r="I544" s="205"/>
      <c r="J544" s="205"/>
      <c r="K544" s="205"/>
      <c r="L544" s="205"/>
      <c r="M544" s="205"/>
    </row>
    <row r="545" spans="4:13" s="112" customFormat="1" ht="12.75">
      <c r="D545" s="205"/>
      <c r="E545" s="205"/>
      <c r="F545" s="205"/>
      <c r="G545" s="205"/>
      <c r="H545" s="205"/>
      <c r="I545" s="205"/>
      <c r="J545" s="205"/>
      <c r="K545" s="205"/>
      <c r="L545" s="205"/>
      <c r="M545" s="205"/>
    </row>
    <row r="546" spans="4:13" s="112" customFormat="1" ht="12.75">
      <c r="D546" s="205"/>
      <c r="E546" s="205"/>
      <c r="F546" s="205"/>
      <c r="G546" s="205"/>
      <c r="H546" s="205"/>
      <c r="I546" s="205"/>
      <c r="J546" s="205"/>
      <c r="K546" s="205"/>
      <c r="L546" s="205"/>
      <c r="M546" s="205"/>
    </row>
    <row r="547" spans="4:13" s="112" customFormat="1" ht="12.75">
      <c r="D547" s="205"/>
      <c r="E547" s="205"/>
      <c r="F547" s="205"/>
      <c r="G547" s="205"/>
      <c r="H547" s="205"/>
      <c r="I547" s="205"/>
      <c r="J547" s="205"/>
      <c r="K547" s="205"/>
      <c r="L547" s="205"/>
      <c r="M547" s="205"/>
    </row>
    <row r="548" spans="4:13" s="112" customFormat="1" ht="12.75">
      <c r="D548" s="205"/>
      <c r="E548" s="205"/>
      <c r="F548" s="205"/>
      <c r="G548" s="205"/>
      <c r="H548" s="205"/>
      <c r="I548" s="205"/>
      <c r="J548" s="205"/>
      <c r="K548" s="205"/>
      <c r="L548" s="205"/>
      <c r="M548" s="205"/>
    </row>
    <row r="549" spans="4:13" s="112" customFormat="1" ht="12.75">
      <c r="D549" s="205"/>
      <c r="E549" s="205"/>
      <c r="F549" s="205"/>
      <c r="G549" s="205"/>
      <c r="H549" s="205"/>
      <c r="I549" s="205"/>
      <c r="J549" s="205"/>
      <c r="K549" s="205"/>
      <c r="L549" s="205"/>
      <c r="M549" s="205"/>
    </row>
    <row r="550" spans="4:13" s="112" customFormat="1" ht="12.75">
      <c r="D550" s="205"/>
      <c r="E550" s="205"/>
      <c r="F550" s="205"/>
      <c r="G550" s="205"/>
      <c r="H550" s="205"/>
      <c r="I550" s="205"/>
      <c r="J550" s="205"/>
      <c r="K550" s="205"/>
      <c r="L550" s="205"/>
      <c r="M550" s="205"/>
    </row>
    <row r="551" spans="4:13" s="112" customFormat="1" ht="12.75">
      <c r="D551" s="205"/>
      <c r="E551" s="205"/>
      <c r="F551" s="205"/>
      <c r="G551" s="205"/>
      <c r="H551" s="205"/>
      <c r="I551" s="205"/>
      <c r="J551" s="205"/>
      <c r="K551" s="205"/>
      <c r="L551" s="205"/>
      <c r="M551" s="205"/>
    </row>
    <row r="552" spans="4:13" s="112" customFormat="1" ht="12.75">
      <c r="D552" s="205"/>
      <c r="E552" s="205"/>
      <c r="F552" s="205"/>
      <c r="G552" s="205"/>
      <c r="H552" s="205"/>
      <c r="I552" s="205"/>
      <c r="J552" s="205"/>
      <c r="K552" s="205"/>
      <c r="L552" s="205"/>
      <c r="M552" s="205"/>
    </row>
    <row r="553" spans="4:13" s="112" customFormat="1" ht="12.75">
      <c r="D553" s="205"/>
      <c r="E553" s="205"/>
      <c r="F553" s="205"/>
      <c r="G553" s="205"/>
      <c r="H553" s="205"/>
      <c r="I553" s="205"/>
      <c r="J553" s="205"/>
      <c r="K553" s="205"/>
      <c r="L553" s="205"/>
      <c r="M553" s="205"/>
    </row>
  </sheetData>
  <sheetProtection password="C857" sheet="1" objects="1" scenarios="1"/>
  <mergeCells count="11">
    <mergeCell ref="C10:F10"/>
    <mergeCell ref="C12:F12"/>
    <mergeCell ref="C2:L2"/>
    <mergeCell ref="C4:M4"/>
    <mergeCell ref="L14:M14"/>
    <mergeCell ref="C6:F6"/>
    <mergeCell ref="C8:F8"/>
    <mergeCell ref="D14:E14"/>
    <mergeCell ref="F14:G14"/>
    <mergeCell ref="H14:I14"/>
    <mergeCell ref="J14:K14"/>
  </mergeCells>
  <phoneticPr fontId="0" type="noConversion"/>
  <dataValidations count="2">
    <dataValidation type="custom" allowBlank="1" showInputMessage="1" showErrorMessage="1" errorTitle="Eingabefehler" error="Sie können die Finanzverbindlichkeiten nur maximal im Rahmen des Vorjahresbestands reduzieren." sqref="D24 F24 H24 J24 L24">
      <formula1>D24&gt;=E24</formula1>
    </dataValidation>
    <dataValidation type="custom" allowBlank="1" showInputMessage="1" showErrorMessage="1" errorTitle="Eingabefehler" error="Bitte beachten Sie:_x000a_1) Gewinnausschüttungen sind als Minusbetrag zu erfassen (z.B. -10'000)_x000a_2) Ein negatives Eigenkapital ist nicht möglich, d.h. Sie können maximal das bisherige Eigenkapitel inkl. Gewinn ausschütten" sqref="D26 F26 H26 J26 L26">
      <formula1>AND(D26&gt;E26,D26&lt;=0)</formula1>
    </dataValidation>
  </dataValidations>
  <pageMargins left="0.39370078740157483" right="0.39370078740157483" top="0.98425196850393704" bottom="0.98425196850393704" header="0.51181102362204722" footer="0.51181102362204722"/>
  <pageSetup paperSize="9" scale="97" orientation="landscape" r:id="rId1"/>
  <headerFooter alignWithMargins="0">
    <oddFooter>&amp;LZKB KMU Check-up&amp;CSeite &amp;P / &amp;N&amp;R&amp;D</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A1:O491"/>
  <sheetViews>
    <sheetView showGridLines="0" showRowColHeaders="0" topLeftCell="A2" zoomScale="84" zoomScaleNormal="82" workbookViewId="0">
      <pane xSplit="2" ySplit="3"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44" style="70" customWidth="1"/>
    <col min="4" max="4" width="10.5" style="168" customWidth="1"/>
    <col min="5" max="5" width="7.875" style="169" customWidth="1"/>
    <col min="6" max="6" width="10.5" style="168" customWidth="1"/>
    <col min="7" max="7" width="7.875" style="169" customWidth="1"/>
    <col min="8" max="8" width="10.5" style="168" customWidth="1"/>
    <col min="9" max="9" width="7.875" style="169" customWidth="1"/>
    <col min="10" max="10" width="10.5" style="168" customWidth="1"/>
    <col min="11" max="11" width="7.875" style="169" customWidth="1"/>
    <col min="12" max="12" width="10.5" style="168" customWidth="1"/>
    <col min="13" max="13" width="7.875" style="169" customWidth="1"/>
    <col min="14" max="14" width="10.5" style="168" customWidth="1"/>
    <col min="15" max="15" width="7.875" style="169" customWidth="1"/>
    <col min="16" max="16384" width="11.5" style="70"/>
  </cols>
  <sheetData>
    <row r="1" spans="1:15" s="112" customFormat="1" ht="12.75" hidden="1">
      <c r="D1" s="205"/>
      <c r="E1" s="206"/>
      <c r="F1" s="205"/>
      <c r="G1" s="206"/>
      <c r="H1" s="205"/>
      <c r="I1" s="206"/>
      <c r="J1" s="205"/>
      <c r="K1" s="206"/>
      <c r="L1" s="205"/>
      <c r="M1" s="206"/>
      <c r="N1" s="205"/>
      <c r="O1" s="206"/>
    </row>
    <row r="2" spans="1:15" s="112" customFormat="1" ht="15" customHeight="1">
      <c r="C2" s="551" t="str">
        <f>IF(Hauptübersicht!E13="","Bitte Firma unter 'Home' ergänzen",Hauptübersicht!E13)</f>
        <v>GitFit</v>
      </c>
      <c r="D2" s="552"/>
      <c r="E2" s="552"/>
      <c r="F2" s="552"/>
      <c r="G2" s="552"/>
      <c r="H2" s="552"/>
      <c r="I2" s="552"/>
      <c r="J2" s="552"/>
      <c r="K2" s="552"/>
      <c r="L2" s="552"/>
      <c r="M2" s="552"/>
      <c r="N2" s="552"/>
      <c r="O2" s="553"/>
    </row>
    <row r="3" spans="1:15" s="112" customFormat="1" ht="15" customHeight="1">
      <c r="D3" s="205"/>
      <c r="E3" s="206"/>
      <c r="F3" s="205"/>
      <c r="G3" s="206"/>
      <c r="H3" s="205"/>
      <c r="I3" s="206"/>
      <c r="J3" s="205"/>
      <c r="K3" s="206"/>
      <c r="L3" s="205"/>
      <c r="M3" s="206"/>
      <c r="N3" s="205"/>
      <c r="O3" s="206"/>
    </row>
    <row r="4" spans="1:15" s="112" customFormat="1" ht="27" customHeight="1">
      <c r="A4" s="172"/>
      <c r="C4" s="510" t="s">
        <v>72</v>
      </c>
      <c r="D4" s="510"/>
      <c r="E4" s="510"/>
      <c r="F4" s="510"/>
      <c r="G4" s="510"/>
      <c r="H4" s="290"/>
      <c r="I4" s="290"/>
      <c r="J4" s="290"/>
      <c r="K4" s="290"/>
      <c r="L4" s="290"/>
      <c r="M4" s="290"/>
      <c r="N4" s="290"/>
      <c r="O4" s="290"/>
    </row>
    <row r="5" spans="1:15" s="112" customFormat="1" ht="15">
      <c r="A5" s="99"/>
      <c r="D5" s="205"/>
      <c r="E5" s="206"/>
      <c r="F5" s="205"/>
      <c r="G5" s="206"/>
      <c r="H5" s="205"/>
      <c r="I5" s="206"/>
      <c r="J5" s="205"/>
      <c r="K5" s="206"/>
      <c r="L5" s="205"/>
      <c r="M5" s="206"/>
      <c r="N5" s="205"/>
      <c r="O5" s="206"/>
    </row>
    <row r="6" spans="1:15" s="112" customFormat="1" ht="15">
      <c r="A6" s="174"/>
      <c r="C6" s="291" t="s">
        <v>0</v>
      </c>
      <c r="D6" s="292" t="str">
        <f>Hauptübersicht!$E$16</f>
        <v>in 1'000 CHF</v>
      </c>
      <c r="E6" s="293"/>
      <c r="F6" s="292" t="str">
        <f>Hauptübersicht!$E$16</f>
        <v>in 1'000 CHF</v>
      </c>
      <c r="G6" s="293"/>
      <c r="H6" s="292" t="str">
        <f>Hauptübersicht!$E$16</f>
        <v>in 1'000 CHF</v>
      </c>
      <c r="I6" s="293"/>
      <c r="J6" s="292" t="str">
        <f>Hauptübersicht!$E$16</f>
        <v>in 1'000 CHF</v>
      </c>
      <c r="K6" s="293"/>
      <c r="L6" s="292" t="str">
        <f>Hauptübersicht!$E$16</f>
        <v>in 1'000 CHF</v>
      </c>
      <c r="M6" s="293"/>
      <c r="N6" s="292" t="str">
        <f>Hauptübersicht!$E$16</f>
        <v>in 1'000 CHF</v>
      </c>
      <c r="O6" s="293"/>
    </row>
    <row r="7" spans="1:15" s="112" customFormat="1" ht="12.75">
      <c r="A7" s="280"/>
      <c r="C7" s="294" t="s">
        <v>1</v>
      </c>
      <c r="D7" s="295" t="str">
        <f>'Input Eröffnungsbilanz'!D12</f>
        <v>1.1.2017</v>
      </c>
      <c r="E7" s="296" t="s">
        <v>2</v>
      </c>
      <c r="F7" s="295" t="str">
        <f>Hauptübersicht!L13</f>
        <v>31.12.2017</v>
      </c>
      <c r="G7" s="296" t="s">
        <v>2</v>
      </c>
      <c r="H7" s="295" t="str">
        <f>Hauptübersicht!L14</f>
        <v>31.12.2018</v>
      </c>
      <c r="I7" s="296" t="s">
        <v>2</v>
      </c>
      <c r="J7" s="295" t="str">
        <f>Hauptübersicht!L15</f>
        <v>31.12.2019</v>
      </c>
      <c r="K7" s="296" t="s">
        <v>2</v>
      </c>
      <c r="L7" s="295" t="str">
        <f>Hauptübersicht!L16</f>
        <v>31.12.2020</v>
      </c>
      <c r="M7" s="296" t="s">
        <v>2</v>
      </c>
      <c r="N7" s="295" t="str">
        <f>Hauptübersicht!L17</f>
        <v>31.12.2021</v>
      </c>
      <c r="O7" s="296" t="s">
        <v>2</v>
      </c>
    </row>
    <row r="8" spans="1:15" s="112" customFormat="1" ht="12.75">
      <c r="A8" s="280"/>
      <c r="C8" s="143" t="s">
        <v>3</v>
      </c>
      <c r="D8" s="297">
        <f>'Input Eröffnungsbilanz'!D13</f>
        <v>200</v>
      </c>
      <c r="E8" s="556"/>
      <c r="F8" s="297">
        <f>'Input Finanzierung'!D29</f>
        <v>386.92666666666668</v>
      </c>
      <c r="G8" s="556"/>
      <c r="H8" s="297">
        <f>'Input Finanzierung'!F29</f>
        <v>108.52833333333342</v>
      </c>
      <c r="I8" s="556"/>
      <c r="J8" s="297">
        <f>'Input Finanzierung'!H29</f>
        <v>33.970000000000084</v>
      </c>
      <c r="K8" s="556"/>
      <c r="L8" s="297">
        <f>'Input Finanzierung'!J29</f>
        <v>71.220000000000084</v>
      </c>
      <c r="M8" s="556"/>
      <c r="N8" s="297">
        <f>'Input Finanzierung'!L29</f>
        <v>71.220000000000084</v>
      </c>
      <c r="O8" s="556"/>
    </row>
    <row r="9" spans="1:15" s="112" customFormat="1" ht="12.75">
      <c r="A9" s="280"/>
      <c r="C9" s="135" t="s">
        <v>4</v>
      </c>
      <c r="D9" s="298">
        <f>'Input Eröffnungsbilanz'!D14</f>
        <v>0</v>
      </c>
      <c r="E9" s="556"/>
      <c r="F9" s="298">
        <f>'Input Eröffnungsbilanz'!K14*'Output Planerfolgsrechnung'!D8/360</f>
        <v>1</v>
      </c>
      <c r="G9" s="556"/>
      <c r="H9" s="298">
        <f>'Input Eröffnungsbilanz'!M14*'Output Planerfolgsrechnung'!F8/360</f>
        <v>8.75</v>
      </c>
      <c r="I9" s="556"/>
      <c r="J9" s="298">
        <f>'Input Eröffnungsbilanz'!O14*'Output Planerfolgsrechnung'!H8/360</f>
        <v>37.5</v>
      </c>
      <c r="K9" s="556"/>
      <c r="L9" s="298">
        <f>'Input Eröffnungsbilanz'!Q14*'Output Planerfolgsrechnung'!J8/360</f>
        <v>0</v>
      </c>
      <c r="M9" s="556"/>
      <c r="N9" s="298">
        <f>'Input Eröffnungsbilanz'!S14*'Output Planerfolgsrechnung'!L8/360</f>
        <v>0</v>
      </c>
      <c r="O9" s="556"/>
    </row>
    <row r="10" spans="1:15" s="112" customFormat="1" ht="12.75">
      <c r="A10" s="280"/>
      <c r="C10" s="135" t="s">
        <v>22</v>
      </c>
      <c r="D10" s="298">
        <f>'Input Eröffnungsbilanz'!D15</f>
        <v>0</v>
      </c>
      <c r="E10" s="556"/>
      <c r="F10" s="298">
        <f>'Output Planerfolgsrechnung'!D8*'Input Eröffnungsbilanz'!K15</f>
        <v>0</v>
      </c>
      <c r="G10" s="556"/>
      <c r="H10" s="298">
        <f>'Output Planerfolgsrechnung'!F8*'Input Eröffnungsbilanz'!M15</f>
        <v>0</v>
      </c>
      <c r="I10" s="556"/>
      <c r="J10" s="298">
        <f>'Output Planerfolgsrechnung'!H8*'Input Eröffnungsbilanz'!O15</f>
        <v>0</v>
      </c>
      <c r="K10" s="556"/>
      <c r="L10" s="298">
        <f>'Output Planerfolgsrechnung'!J8*'Input Eröffnungsbilanz'!Q15</f>
        <v>0</v>
      </c>
      <c r="M10" s="556"/>
      <c r="N10" s="298">
        <f>'Output Planerfolgsrechnung'!L8*'Input Eröffnungsbilanz'!S15</f>
        <v>0</v>
      </c>
      <c r="O10" s="556"/>
    </row>
    <row r="11" spans="1:15" s="112" customFormat="1" ht="12.75">
      <c r="A11" s="280"/>
      <c r="C11" s="136" t="s">
        <v>23</v>
      </c>
      <c r="D11" s="299">
        <f>'Input Eröffnungsbilanz'!D16</f>
        <v>0</v>
      </c>
      <c r="E11" s="556"/>
      <c r="F11" s="299">
        <f>'Input Eröffnungsbilanz'!K16*'Output Planerfolgsrechnung'!D9/360</f>
        <v>0</v>
      </c>
      <c r="G11" s="556"/>
      <c r="H11" s="299">
        <f>'Input Eröffnungsbilanz'!M16*'Output Planerfolgsrechnung'!F9/360</f>
        <v>0</v>
      </c>
      <c r="I11" s="556"/>
      <c r="J11" s="299">
        <f>'Input Eröffnungsbilanz'!O16*'Output Planerfolgsrechnung'!H9/360</f>
        <v>0</v>
      </c>
      <c r="K11" s="556"/>
      <c r="L11" s="299">
        <f>'Input Eröffnungsbilanz'!Q16*'Output Planerfolgsrechnung'!J9/360</f>
        <v>0</v>
      </c>
      <c r="M11" s="556"/>
      <c r="N11" s="299">
        <f>'Input Eröffnungsbilanz'!S16*'Output Planerfolgsrechnung'!L9/360</f>
        <v>0</v>
      </c>
      <c r="O11" s="556"/>
    </row>
    <row r="12" spans="1:15" s="112" customFormat="1" ht="12.75">
      <c r="A12" s="280"/>
      <c r="C12" s="137" t="s">
        <v>5</v>
      </c>
      <c r="D12" s="300">
        <f>SUM(D8:D11)</f>
        <v>200</v>
      </c>
      <c r="E12" s="301">
        <f>IF(D$18=0,0,+D12/D$18)</f>
        <v>1</v>
      </c>
      <c r="F12" s="300">
        <f>SUM(F8:F11)</f>
        <v>387.92666666666668</v>
      </c>
      <c r="G12" s="301">
        <f>IF(F$18=0,0,+F12/F$18)</f>
        <v>0.98302192789809784</v>
      </c>
      <c r="H12" s="300">
        <f>SUM(H8:H11)</f>
        <v>117.27833333333342</v>
      </c>
      <c r="I12" s="301">
        <f>IF(H$18=0,0,+H12/H$18)</f>
        <v>0.95248859590941704</v>
      </c>
      <c r="J12" s="300">
        <f>SUM(J8:J11)</f>
        <v>71.470000000000084</v>
      </c>
      <c r="K12" s="301">
        <f>IF(J$18=0,0,+J12/J$18)</f>
        <v>1</v>
      </c>
      <c r="L12" s="300">
        <f>SUM(L8:L11)</f>
        <v>71.220000000000084</v>
      </c>
      <c r="M12" s="301">
        <f>IF(L$18=0,0,+L12/L$18)</f>
        <v>1</v>
      </c>
      <c r="N12" s="300">
        <f>SUM(N8:N11)</f>
        <v>71.220000000000084</v>
      </c>
      <c r="O12" s="301">
        <f>IF(N$18=0,0,+N12/N$18)</f>
        <v>1</v>
      </c>
    </row>
    <row r="13" spans="1:15" s="112" customFormat="1" ht="12.75">
      <c r="A13" s="280"/>
      <c r="C13" s="294" t="s">
        <v>6</v>
      </c>
      <c r="D13" s="104"/>
      <c r="E13" s="104"/>
      <c r="F13" s="104"/>
      <c r="G13" s="104"/>
      <c r="H13" s="104"/>
      <c r="I13" s="104"/>
      <c r="J13" s="104"/>
      <c r="K13" s="104"/>
      <c r="L13" s="104"/>
      <c r="M13" s="104"/>
      <c r="N13" s="104"/>
      <c r="O13" s="104"/>
    </row>
    <row r="14" spans="1:15" s="112" customFormat="1" ht="12.75">
      <c r="A14" s="280"/>
      <c r="C14" s="143" t="s">
        <v>24</v>
      </c>
      <c r="D14" s="297">
        <f>'Input Eröffnungsbilanz'!D19</f>
        <v>0</v>
      </c>
      <c r="E14" s="556"/>
      <c r="F14" s="297">
        <f>D14+'Input Geschäftsgang'!E58-'Output Planerfolgsrechnung'!D16</f>
        <v>6.6999999999999993</v>
      </c>
      <c r="G14" s="556"/>
      <c r="H14" s="297">
        <f>F14+'Input Geschäftsgang'!G58-'Output Planerfolgsrechnung'!F16</f>
        <v>5.85</v>
      </c>
      <c r="I14" s="556"/>
      <c r="J14" s="297">
        <f>H14+'Input Geschäftsgang'!I58-'Output Planerfolgsrechnung'!H16</f>
        <v>0</v>
      </c>
      <c r="K14" s="556"/>
      <c r="L14" s="297">
        <f>J14+'Input Geschäftsgang'!K58-'Output Planerfolgsrechnung'!J16</f>
        <v>0</v>
      </c>
      <c r="M14" s="556"/>
      <c r="N14" s="297">
        <f>L14+'Input Geschäftsgang'!M58-'Output Planerfolgsrechnung'!L16</f>
        <v>0</v>
      </c>
      <c r="O14" s="556"/>
    </row>
    <row r="15" spans="1:15" s="112" customFormat="1" ht="12.75">
      <c r="A15" s="280"/>
      <c r="C15" s="135" t="s">
        <v>80</v>
      </c>
      <c r="D15" s="298">
        <f>'Input Eröffnungsbilanz'!D20</f>
        <v>0</v>
      </c>
      <c r="E15" s="556"/>
      <c r="F15" s="298">
        <f>D15+'Input Geschäftsgang'!E65-'Output Planerfolgsrechnung'!D17</f>
        <v>0</v>
      </c>
      <c r="G15" s="556"/>
      <c r="H15" s="298">
        <f>F15+'Input Geschäftsgang'!G65-'Output Planerfolgsrechnung'!F17</f>
        <v>0</v>
      </c>
      <c r="I15" s="556"/>
      <c r="J15" s="298">
        <f>H15+'Input Geschäftsgang'!I65-'Output Planerfolgsrechnung'!H17</f>
        <v>0</v>
      </c>
      <c r="K15" s="556"/>
      <c r="L15" s="298">
        <f>J15+'Input Geschäftsgang'!K65-'Output Planerfolgsrechnung'!J17</f>
        <v>0</v>
      </c>
      <c r="M15" s="556"/>
      <c r="N15" s="298">
        <f>L15+'Input Geschäftsgang'!M65-'Output Planerfolgsrechnung'!L17</f>
        <v>0</v>
      </c>
      <c r="O15" s="556"/>
    </row>
    <row r="16" spans="1:15" s="112" customFormat="1" ht="12.75">
      <c r="A16" s="280"/>
      <c r="C16" s="136" t="s">
        <v>81</v>
      </c>
      <c r="D16" s="299">
        <f>'Input Eröffnungsbilanz'!D21</f>
        <v>0</v>
      </c>
      <c r="E16" s="555"/>
      <c r="F16" s="299">
        <f>D16+'Input Geschäftsgang'!E72-'Output Planerfolgsrechnung'!D18</f>
        <v>0</v>
      </c>
      <c r="G16" s="555"/>
      <c r="H16" s="299">
        <f>F16+'Input Geschäftsgang'!G72-'Output Planerfolgsrechnung'!F18</f>
        <v>0</v>
      </c>
      <c r="I16" s="555"/>
      <c r="J16" s="299">
        <f>H16+'Input Geschäftsgang'!I72-'Output Planerfolgsrechnung'!H18</f>
        <v>0</v>
      </c>
      <c r="K16" s="555"/>
      <c r="L16" s="299">
        <f>J16+'Input Geschäftsgang'!K72-'Output Planerfolgsrechnung'!J18</f>
        <v>0</v>
      </c>
      <c r="M16" s="555"/>
      <c r="N16" s="299">
        <f>L16+'Input Geschäftsgang'!M72-'Output Planerfolgsrechnung'!L18</f>
        <v>0</v>
      </c>
      <c r="O16" s="555"/>
    </row>
    <row r="17" spans="1:15" s="112" customFormat="1" ht="13.5" thickBot="1">
      <c r="A17" s="280"/>
      <c r="C17" s="302" t="s">
        <v>9</v>
      </c>
      <c r="D17" s="303">
        <f>SUM(D14:D16)</f>
        <v>0</v>
      </c>
      <c r="E17" s="304">
        <f>IF(D$18=0,0,+D17/D$18)</f>
        <v>0</v>
      </c>
      <c r="F17" s="303">
        <f>SUM(F14:F16)</f>
        <v>6.6999999999999993</v>
      </c>
      <c r="G17" s="304">
        <f>IF(F$18=0,0,+F17/F$18)</f>
        <v>1.697807210190222E-2</v>
      </c>
      <c r="H17" s="303">
        <f>SUM(H14:H16)</f>
        <v>5.85</v>
      </c>
      <c r="I17" s="304">
        <f>IF(H$18=0,0,+H17/H$18)</f>
        <v>4.7511404090582965E-2</v>
      </c>
      <c r="J17" s="303">
        <f>SUM(J14:J16)</f>
        <v>0</v>
      </c>
      <c r="K17" s="304">
        <f>IF(J$18=0,0,+J17/J$18)</f>
        <v>0</v>
      </c>
      <c r="L17" s="303">
        <f>SUM(L14:L16)</f>
        <v>0</v>
      </c>
      <c r="M17" s="304">
        <f>IF(L$18=0,0,+L17/L$18)</f>
        <v>0</v>
      </c>
      <c r="N17" s="303">
        <f>SUM(N14:N16)</f>
        <v>0</v>
      </c>
      <c r="O17" s="304">
        <f>IF(N$18=0,0,+N17/N$18)</f>
        <v>0</v>
      </c>
    </row>
    <row r="18" spans="1:15" s="112" customFormat="1" ht="15.75" thickBot="1">
      <c r="A18" s="280"/>
      <c r="C18" s="305" t="s">
        <v>10</v>
      </c>
      <c r="D18" s="306">
        <f>SUM(D12+D17)</f>
        <v>200</v>
      </c>
      <c r="E18" s="307">
        <v>1</v>
      </c>
      <c r="F18" s="306">
        <f>SUM(F12+F17)</f>
        <v>394.62666666666667</v>
      </c>
      <c r="G18" s="307">
        <v>1</v>
      </c>
      <c r="H18" s="306">
        <f>SUM(H12+H17)</f>
        <v>123.12833333333342</v>
      </c>
      <c r="I18" s="307">
        <v>1</v>
      </c>
      <c r="J18" s="306">
        <f>SUM(J12+J17)</f>
        <v>71.470000000000084</v>
      </c>
      <c r="K18" s="307">
        <v>1</v>
      </c>
      <c r="L18" s="306">
        <f>SUM(L12+L17)</f>
        <v>71.220000000000084</v>
      </c>
      <c r="M18" s="307">
        <v>1</v>
      </c>
      <c r="N18" s="306">
        <f>SUM(N12+N17)</f>
        <v>71.220000000000084</v>
      </c>
      <c r="O18" s="307">
        <v>1</v>
      </c>
    </row>
    <row r="19" spans="1:15" s="112" customFormat="1" ht="12.75">
      <c r="A19" s="280"/>
      <c r="C19" s="143"/>
      <c r="D19" s="116"/>
      <c r="E19" s="116"/>
      <c r="F19" s="116"/>
      <c r="G19" s="116"/>
      <c r="H19" s="116"/>
      <c r="I19" s="116"/>
      <c r="J19" s="116"/>
      <c r="K19" s="116"/>
      <c r="L19" s="116"/>
      <c r="M19" s="116"/>
      <c r="N19" s="116"/>
      <c r="O19" s="116"/>
    </row>
    <row r="20" spans="1:15" s="112" customFormat="1" ht="12.75">
      <c r="A20" s="280"/>
      <c r="C20" s="102" t="s">
        <v>11</v>
      </c>
      <c r="D20" s="103" t="str">
        <f>Hauptübersicht!$E$16</f>
        <v>in 1'000 CHF</v>
      </c>
      <c r="E20" s="104"/>
      <c r="F20" s="103" t="str">
        <f>Hauptübersicht!$E$16</f>
        <v>in 1'000 CHF</v>
      </c>
      <c r="G20" s="104"/>
      <c r="H20" s="103" t="str">
        <f>Hauptübersicht!$E$16</f>
        <v>in 1'000 CHF</v>
      </c>
      <c r="I20" s="104"/>
      <c r="J20" s="103" t="str">
        <f>Hauptübersicht!$E$16</f>
        <v>in 1'000 CHF</v>
      </c>
      <c r="K20" s="104"/>
      <c r="L20" s="103" t="str">
        <f>Hauptübersicht!$E$16</f>
        <v>in 1'000 CHF</v>
      </c>
      <c r="M20" s="104"/>
      <c r="N20" s="103" t="str">
        <f>Hauptübersicht!$E$16</f>
        <v>in 1'000 CHF</v>
      </c>
      <c r="O20" s="104"/>
    </row>
    <row r="21" spans="1:15" s="112" customFormat="1" ht="12.75">
      <c r="A21" s="280"/>
      <c r="C21" s="294" t="s">
        <v>12</v>
      </c>
      <c r="D21" s="295" t="str">
        <f t="shared" ref="D21:O21" si="0">+D7</f>
        <v>1.1.2017</v>
      </c>
      <c r="E21" s="296" t="str">
        <f t="shared" si="0"/>
        <v>in %</v>
      </c>
      <c r="F21" s="295" t="str">
        <f t="shared" si="0"/>
        <v>31.12.2017</v>
      </c>
      <c r="G21" s="296" t="str">
        <f t="shared" si="0"/>
        <v>in %</v>
      </c>
      <c r="H21" s="295" t="str">
        <f t="shared" si="0"/>
        <v>31.12.2018</v>
      </c>
      <c r="I21" s="296" t="str">
        <f t="shared" si="0"/>
        <v>in %</v>
      </c>
      <c r="J21" s="295" t="str">
        <f t="shared" si="0"/>
        <v>31.12.2019</v>
      </c>
      <c r="K21" s="296" t="str">
        <f t="shared" si="0"/>
        <v>in %</v>
      </c>
      <c r="L21" s="295" t="str">
        <f t="shared" si="0"/>
        <v>31.12.2020</v>
      </c>
      <c r="M21" s="296" t="str">
        <f t="shared" si="0"/>
        <v>in %</v>
      </c>
      <c r="N21" s="295" t="str">
        <f t="shared" si="0"/>
        <v>31.12.2021</v>
      </c>
      <c r="O21" s="296" t="str">
        <f t="shared" si="0"/>
        <v>in %</v>
      </c>
    </row>
    <row r="22" spans="1:15" s="112" customFormat="1" ht="12.75">
      <c r="A22" s="280"/>
      <c r="C22" s="143" t="s">
        <v>13</v>
      </c>
      <c r="D22" s="297">
        <f>'Input Eröffnungsbilanz'!D27</f>
        <v>0</v>
      </c>
      <c r="E22" s="554"/>
      <c r="F22" s="297">
        <f>('Input Eröffnungsbilanz'!K27*('Output Planerfolgsrechnung'!D9+('Output Planbilanz'!F11-'Output Planbilanz'!D11)))/360</f>
        <v>6.6666666666666662E-3</v>
      </c>
      <c r="G22" s="554"/>
      <c r="H22" s="297">
        <f>('Input Eröffnungsbilanz'!M27*('Output Planerfolgsrechnung'!F9+('Output Planbilanz'!H11-'Output Planbilanz'!F11)))/360</f>
        <v>5.8333333333333341E-2</v>
      </c>
      <c r="I22" s="554"/>
      <c r="J22" s="297">
        <f>('Input Eröffnungsbilanz'!O27*('Output Planerfolgsrechnung'!H9+('Output Planbilanz'!J11-'Output Planbilanz'!H11)))/360</f>
        <v>0.25</v>
      </c>
      <c r="K22" s="554"/>
      <c r="L22" s="297">
        <f>('Input Eröffnungsbilanz'!Q27*('Output Planerfolgsrechnung'!J9+('Output Planbilanz'!L11-'Output Planbilanz'!J11)))/360</f>
        <v>0</v>
      </c>
      <c r="M22" s="554"/>
      <c r="N22" s="297">
        <f>('Input Eröffnungsbilanz'!S27*('Output Planerfolgsrechnung'!L9+('Output Planbilanz'!N11-'Output Planbilanz'!L11)))/360</f>
        <v>0</v>
      </c>
      <c r="O22" s="554"/>
    </row>
    <row r="23" spans="1:15" s="112" customFormat="1" ht="12.75">
      <c r="A23" s="280"/>
      <c r="C23" s="135" t="s">
        <v>79</v>
      </c>
      <c r="D23" s="298">
        <f>'Input Eröffnungsbilanz'!D28</f>
        <v>0</v>
      </c>
      <c r="E23" s="555"/>
      <c r="F23" s="298">
        <f>'Input Finanzierung'!D31</f>
        <v>0</v>
      </c>
      <c r="G23" s="555"/>
      <c r="H23" s="298">
        <f>'Input Finanzierung'!F31</f>
        <v>0</v>
      </c>
      <c r="I23" s="555"/>
      <c r="J23" s="298">
        <f>'Input Finanzierung'!H31</f>
        <v>0</v>
      </c>
      <c r="K23" s="555"/>
      <c r="L23" s="298">
        <f>'Input Finanzierung'!J31</f>
        <v>0</v>
      </c>
      <c r="M23" s="555"/>
      <c r="N23" s="298">
        <f>'Input Finanzierung'!L31</f>
        <v>0</v>
      </c>
      <c r="O23" s="555"/>
    </row>
    <row r="24" spans="1:15" s="112" customFormat="1" ht="12.75">
      <c r="A24" s="280"/>
      <c r="C24" s="136" t="s">
        <v>25</v>
      </c>
      <c r="D24" s="299">
        <f>'Input Eröffnungsbilanz'!D29</f>
        <v>0</v>
      </c>
      <c r="E24" s="555"/>
      <c r="F24" s="299">
        <f>'Output Planerfolgsrechnung'!D8*'Input Eröffnungsbilanz'!K29</f>
        <v>0</v>
      </c>
      <c r="G24" s="555"/>
      <c r="H24" s="299">
        <f>'Output Planerfolgsrechnung'!F8*'Input Eröffnungsbilanz'!M29</f>
        <v>0</v>
      </c>
      <c r="I24" s="555"/>
      <c r="J24" s="299">
        <f>'Output Planerfolgsrechnung'!H8*'Input Eröffnungsbilanz'!O29</f>
        <v>0</v>
      </c>
      <c r="K24" s="555"/>
      <c r="L24" s="299">
        <f>'Output Planerfolgsrechnung'!J8*'Input Eröffnungsbilanz'!Q29</f>
        <v>0</v>
      </c>
      <c r="M24" s="555"/>
      <c r="N24" s="299">
        <f>'Output Planerfolgsrechnung'!L8*'Input Eröffnungsbilanz'!S29</f>
        <v>0</v>
      </c>
      <c r="O24" s="555"/>
    </row>
    <row r="25" spans="1:15" s="112" customFormat="1" ht="12.75">
      <c r="A25" s="280"/>
      <c r="C25" s="137" t="s">
        <v>14</v>
      </c>
      <c r="D25" s="300">
        <f>SUM(D22:D24)</f>
        <v>0</v>
      </c>
      <c r="E25" s="301">
        <f>IF(D$18=0,0,+D25/D$18)</f>
        <v>0</v>
      </c>
      <c r="F25" s="300">
        <f>SUM(F22:F24)</f>
        <v>6.6666666666666662E-3</v>
      </c>
      <c r="G25" s="301">
        <f>IF(F$18=0,0,+F25/F$18)</f>
        <v>1.6893604081494745E-5</v>
      </c>
      <c r="H25" s="300">
        <f>SUM(H22:H24)</f>
        <v>5.8333333333333341E-2</v>
      </c>
      <c r="I25" s="301">
        <f>IF(H$18=0,0,+H25/H$18)</f>
        <v>4.7376043964968774E-4</v>
      </c>
      <c r="J25" s="300">
        <f>SUM(J22:J24)</f>
        <v>0.25</v>
      </c>
      <c r="K25" s="301">
        <f>IF(J$18=0,0,+J25/J$18)</f>
        <v>3.4979711767174999E-3</v>
      </c>
      <c r="L25" s="300">
        <f>SUM(L22:L24)</f>
        <v>0</v>
      </c>
      <c r="M25" s="301">
        <f>IF(L$18=0,0,+L25/L$18)</f>
        <v>0</v>
      </c>
      <c r="N25" s="300">
        <f>SUM(N22:N24)</f>
        <v>0</v>
      </c>
      <c r="O25" s="301">
        <f>IF(N$18=0,0,+N25/N$18)</f>
        <v>0</v>
      </c>
    </row>
    <row r="26" spans="1:15" s="112" customFormat="1" ht="12.75">
      <c r="A26" s="280"/>
      <c r="C26" s="294" t="s">
        <v>15</v>
      </c>
      <c r="D26" s="104"/>
      <c r="E26" s="104"/>
      <c r="F26" s="104"/>
      <c r="G26" s="104"/>
      <c r="H26" s="104"/>
      <c r="I26" s="104"/>
      <c r="J26" s="104"/>
      <c r="K26" s="104"/>
      <c r="L26" s="104"/>
      <c r="M26" s="104"/>
      <c r="N26" s="104"/>
      <c r="O26" s="104"/>
    </row>
    <row r="27" spans="1:15" s="112" customFormat="1" ht="12.75">
      <c r="A27" s="280"/>
      <c r="C27" s="143" t="s">
        <v>28</v>
      </c>
      <c r="D27" s="297">
        <f>'Input Eröffnungsbilanz'!D32</f>
        <v>0</v>
      </c>
      <c r="E27" s="554"/>
      <c r="F27" s="297">
        <f>D27+'Input Finanzierung'!D24</f>
        <v>500</v>
      </c>
      <c r="G27" s="554"/>
      <c r="H27" s="297">
        <f>F27+'Input Finanzierung'!F24</f>
        <v>500</v>
      </c>
      <c r="I27" s="554"/>
      <c r="J27" s="297">
        <f>H27+'Input Finanzierung'!H24</f>
        <v>500</v>
      </c>
      <c r="K27" s="554"/>
      <c r="L27" s="297">
        <f>J27+'Input Finanzierung'!J24</f>
        <v>500</v>
      </c>
      <c r="M27" s="554"/>
      <c r="N27" s="297">
        <f>L27+'Input Finanzierung'!L24</f>
        <v>500</v>
      </c>
      <c r="O27" s="554"/>
    </row>
    <row r="28" spans="1:15" s="112" customFormat="1" ht="12.75">
      <c r="A28" s="280"/>
      <c r="C28" s="136" t="s">
        <v>16</v>
      </c>
      <c r="D28" s="299">
        <f>'Input Eröffnungsbilanz'!D33</f>
        <v>0</v>
      </c>
      <c r="E28" s="555"/>
      <c r="F28" s="299">
        <f>D28+'Input Eröffnungsbilanz'!K33</f>
        <v>0</v>
      </c>
      <c r="G28" s="555"/>
      <c r="H28" s="299">
        <f>F28+'Input Eröffnungsbilanz'!M33</f>
        <v>0</v>
      </c>
      <c r="I28" s="555"/>
      <c r="J28" s="299">
        <f>H28+'Input Eröffnungsbilanz'!O33</f>
        <v>0</v>
      </c>
      <c r="K28" s="555"/>
      <c r="L28" s="299">
        <f>J28+'Input Eröffnungsbilanz'!Q33</f>
        <v>0</v>
      </c>
      <c r="M28" s="555"/>
      <c r="N28" s="299">
        <f>L28+'Input Eröffnungsbilanz'!S33</f>
        <v>0</v>
      </c>
      <c r="O28" s="555"/>
    </row>
    <row r="29" spans="1:15" s="112" customFormat="1" ht="12.75">
      <c r="A29" s="280"/>
      <c r="C29" s="137" t="s">
        <v>17</v>
      </c>
      <c r="D29" s="300">
        <f>SUM(D27:D28)</f>
        <v>0</v>
      </c>
      <c r="E29" s="301">
        <f>IF(D$18=0,0,+D29/D$18)</f>
        <v>0</v>
      </c>
      <c r="F29" s="300">
        <f>SUM(F27:F28)</f>
        <v>500</v>
      </c>
      <c r="G29" s="301">
        <f>IF(F$18=0,0,+F29/F$18)</f>
        <v>1.2670203061121059</v>
      </c>
      <c r="H29" s="300">
        <f>SUM(H27:H28)</f>
        <v>500</v>
      </c>
      <c r="I29" s="301">
        <f>IF(H$18=0,0,+H29/H$18)</f>
        <v>4.0608037684258944</v>
      </c>
      <c r="J29" s="300">
        <f>SUM(J27:J28)</f>
        <v>500</v>
      </c>
      <c r="K29" s="301">
        <f>IF(J$18=0,0,+J29/J$18)</f>
        <v>6.9959423534349998</v>
      </c>
      <c r="L29" s="300">
        <f>SUM(L27:L28)</f>
        <v>500</v>
      </c>
      <c r="M29" s="301">
        <f>IF(L$18=0,0,+L29/L$18)</f>
        <v>7.0204998595899948</v>
      </c>
      <c r="N29" s="300">
        <f>SUM(N27:N28)</f>
        <v>500</v>
      </c>
      <c r="O29" s="301">
        <f>IF(N$18=0,0,+N29/N$18)</f>
        <v>7.0204998595899948</v>
      </c>
    </row>
    <row r="30" spans="1:15" s="112" customFormat="1" ht="12.75">
      <c r="A30" s="280"/>
      <c r="C30" s="294" t="s">
        <v>18</v>
      </c>
      <c r="D30" s="104"/>
      <c r="E30" s="104"/>
      <c r="F30" s="104"/>
      <c r="G30" s="104"/>
      <c r="H30" s="104"/>
      <c r="I30" s="104"/>
      <c r="J30" s="104"/>
      <c r="K30" s="104"/>
      <c r="L30" s="104"/>
      <c r="M30" s="104"/>
      <c r="N30" s="104"/>
      <c r="O30" s="104"/>
    </row>
    <row r="31" spans="1:15" s="112" customFormat="1" ht="12.75">
      <c r="C31" s="143" t="s">
        <v>19</v>
      </c>
      <c r="D31" s="297">
        <f>'Input Eröffnungsbilanz'!D36</f>
        <v>200</v>
      </c>
      <c r="E31" s="554"/>
      <c r="F31" s="297">
        <f>D31+'Input Finanzierung'!D25</f>
        <v>200</v>
      </c>
      <c r="G31" s="554"/>
      <c r="H31" s="297">
        <f>F31+'Input Finanzierung'!F25</f>
        <v>200</v>
      </c>
      <c r="I31" s="554"/>
      <c r="J31" s="297">
        <f>H31+'Input Finanzierung'!H25</f>
        <v>200</v>
      </c>
      <c r="K31" s="554"/>
      <c r="L31" s="297">
        <f>J31+'Input Finanzierung'!J25</f>
        <v>200</v>
      </c>
      <c r="M31" s="554"/>
      <c r="N31" s="297">
        <f>L31+'Input Finanzierung'!L25</f>
        <v>200</v>
      </c>
      <c r="O31" s="554"/>
    </row>
    <row r="32" spans="1:15" s="112" customFormat="1" ht="12.75">
      <c r="C32" s="136" t="s">
        <v>26</v>
      </c>
      <c r="D32" s="299">
        <f>'Input Eröffnungsbilanz'!D37</f>
        <v>0</v>
      </c>
      <c r="E32" s="555"/>
      <c r="F32" s="299">
        <f>D32+'Output Planerfolgsrechnung'!D26+'Input Finanzierung'!D26</f>
        <v>-305.38</v>
      </c>
      <c r="G32" s="555"/>
      <c r="H32" s="299">
        <f>F32+'Output Planerfolgsrechnung'!F26+'Input Finanzierung'!F26</f>
        <v>-576.92999999999995</v>
      </c>
      <c r="I32" s="555"/>
      <c r="J32" s="299">
        <f>H32+'Output Planerfolgsrechnung'!H26+'Input Finanzierung'!H26</f>
        <v>-628.78</v>
      </c>
      <c r="K32" s="555"/>
      <c r="L32" s="299">
        <f>J32+'Output Planerfolgsrechnung'!J26+'Input Finanzierung'!J26</f>
        <v>-628.78</v>
      </c>
      <c r="M32" s="555"/>
      <c r="N32" s="299">
        <f>L32+'Output Planerfolgsrechnung'!L26+'Input Finanzierung'!L26</f>
        <v>-628.78</v>
      </c>
      <c r="O32" s="555"/>
    </row>
    <row r="33" spans="3:15" s="112" customFormat="1" ht="13.5" thickBot="1">
      <c r="C33" s="302" t="s">
        <v>20</v>
      </c>
      <c r="D33" s="303">
        <f>SUM(D30:D32)</f>
        <v>200</v>
      </c>
      <c r="E33" s="304">
        <f>IF(D$18=0,0,+D33/D$18)</f>
        <v>1</v>
      </c>
      <c r="F33" s="303">
        <f>SUM(F30:F32)</f>
        <v>-105.38</v>
      </c>
      <c r="G33" s="304">
        <f>IF(F$18=0,0,+F33/F$18)</f>
        <v>-0.26703719971618745</v>
      </c>
      <c r="H33" s="303">
        <f>SUM(H30:H32)</f>
        <v>-376.92999999999995</v>
      </c>
      <c r="I33" s="304">
        <f>IF(H$18=0,0,+H33/H$18)</f>
        <v>-3.0612775288655443</v>
      </c>
      <c r="J33" s="303">
        <f>SUM(J30:J32)</f>
        <v>-428.78</v>
      </c>
      <c r="K33" s="304">
        <f>IF(J$18=0,0,+J33/J$18)</f>
        <v>-5.9994403246117178</v>
      </c>
      <c r="L33" s="303">
        <f>SUM(L30:L32)</f>
        <v>-428.78</v>
      </c>
      <c r="M33" s="304">
        <f>IF(L$18=0,0,+L33/L$18)</f>
        <v>-6.0204998595899957</v>
      </c>
      <c r="N33" s="303">
        <f>SUM(N30:N32)</f>
        <v>-428.78</v>
      </c>
      <c r="O33" s="304">
        <f>IF(N$18=0,0,+N33/N$18)</f>
        <v>-6.0204998595899957</v>
      </c>
    </row>
    <row r="34" spans="3:15" s="112" customFormat="1" ht="15">
      <c r="C34" s="308" t="s">
        <v>21</v>
      </c>
      <c r="D34" s="309">
        <f>SUM(D25+D29+D33)</f>
        <v>200</v>
      </c>
      <c r="E34" s="310">
        <v>1</v>
      </c>
      <c r="F34" s="309">
        <f>SUM(F25+F29+F33)</f>
        <v>394.62666666666667</v>
      </c>
      <c r="G34" s="310">
        <v>1</v>
      </c>
      <c r="H34" s="309">
        <f>SUM(H25+H29+H33)</f>
        <v>123.12833333333339</v>
      </c>
      <c r="I34" s="310">
        <v>1</v>
      </c>
      <c r="J34" s="309">
        <f>SUM(J25+J29+J33)</f>
        <v>71.470000000000027</v>
      </c>
      <c r="K34" s="310">
        <v>1</v>
      </c>
      <c r="L34" s="309">
        <f>SUM(L25+L29+L33)</f>
        <v>71.220000000000027</v>
      </c>
      <c r="M34" s="310">
        <v>1</v>
      </c>
      <c r="N34" s="309">
        <f>SUM(N25+N29+N33)</f>
        <v>71.220000000000027</v>
      </c>
      <c r="O34" s="310">
        <v>1</v>
      </c>
    </row>
    <row r="35" spans="3:15" s="311" customFormat="1" ht="12.75">
      <c r="D35" s="312"/>
      <c r="E35" s="313"/>
      <c r="F35" s="312">
        <f>F18-F34</f>
        <v>0</v>
      </c>
      <c r="G35" s="312"/>
      <c r="H35" s="312">
        <f t="shared" ref="H35:N35" si="1">H18-H34</f>
        <v>0</v>
      </c>
      <c r="I35" s="312"/>
      <c r="J35" s="312">
        <f t="shared" si="1"/>
        <v>0</v>
      </c>
      <c r="K35" s="312"/>
      <c r="L35" s="312">
        <f t="shared" si="1"/>
        <v>0</v>
      </c>
      <c r="M35" s="312"/>
      <c r="N35" s="312">
        <f t="shared" si="1"/>
        <v>0</v>
      </c>
      <c r="O35" s="312"/>
    </row>
    <row r="36" spans="3:15" s="112" customFormat="1" ht="12.75">
      <c r="D36" s="205"/>
      <c r="E36" s="206"/>
      <c r="F36" s="205"/>
      <c r="G36" s="206"/>
      <c r="H36" s="205"/>
      <c r="I36" s="206"/>
      <c r="J36" s="205"/>
      <c r="K36" s="206"/>
      <c r="L36" s="205"/>
      <c r="M36" s="206"/>
      <c r="N36" s="205"/>
      <c r="O36" s="206"/>
    </row>
    <row r="37" spans="3:15" s="112" customFormat="1" ht="12.75">
      <c r="D37" s="205"/>
      <c r="E37" s="206"/>
      <c r="F37" s="205"/>
      <c r="G37" s="206"/>
      <c r="H37" s="205"/>
      <c r="I37" s="206"/>
      <c r="J37" s="205"/>
      <c r="K37" s="206"/>
      <c r="L37" s="205"/>
      <c r="M37" s="206"/>
      <c r="N37" s="205"/>
      <c r="O37" s="206"/>
    </row>
    <row r="38" spans="3:15" s="112" customFormat="1" ht="12.75">
      <c r="D38" s="205"/>
      <c r="E38" s="206"/>
      <c r="F38" s="205"/>
      <c r="G38" s="206"/>
      <c r="H38" s="205"/>
      <c r="I38" s="206"/>
      <c r="J38" s="205"/>
      <c r="K38" s="206"/>
      <c r="L38" s="205"/>
      <c r="M38" s="206"/>
      <c r="N38" s="205"/>
      <c r="O38" s="206"/>
    </row>
    <row r="39" spans="3:15" s="112" customFormat="1" ht="12.75">
      <c r="D39" s="205"/>
      <c r="E39" s="206"/>
      <c r="F39" s="205"/>
      <c r="G39" s="206"/>
      <c r="H39" s="205"/>
      <c r="I39" s="206"/>
      <c r="J39" s="205"/>
      <c r="K39" s="206"/>
      <c r="L39" s="205"/>
      <c r="M39" s="206"/>
      <c r="N39" s="205"/>
      <c r="O39" s="206"/>
    </row>
    <row r="40" spans="3:15" s="112" customFormat="1" ht="12.75">
      <c r="D40" s="205"/>
      <c r="E40" s="206"/>
      <c r="F40" s="205"/>
      <c r="G40" s="206"/>
      <c r="H40" s="205"/>
      <c r="I40" s="206"/>
      <c r="J40" s="205"/>
      <c r="K40" s="206"/>
      <c r="L40" s="205"/>
      <c r="M40" s="206"/>
      <c r="N40" s="205"/>
      <c r="O40" s="206"/>
    </row>
    <row r="41" spans="3:15" s="112" customFormat="1" ht="12.75">
      <c r="D41" s="205"/>
      <c r="E41" s="206"/>
      <c r="F41" s="205"/>
      <c r="G41" s="206"/>
      <c r="H41" s="205"/>
      <c r="I41" s="206"/>
      <c r="J41" s="205"/>
      <c r="K41" s="206"/>
      <c r="L41" s="205"/>
      <c r="M41" s="206"/>
      <c r="N41" s="205"/>
      <c r="O41" s="206"/>
    </row>
    <row r="42" spans="3:15" s="112" customFormat="1" ht="12.75">
      <c r="D42" s="205"/>
      <c r="E42" s="206"/>
      <c r="F42" s="205"/>
      <c r="G42" s="206"/>
      <c r="H42" s="205"/>
      <c r="I42" s="206"/>
      <c r="J42" s="205"/>
      <c r="K42" s="206"/>
      <c r="L42" s="205"/>
      <c r="M42" s="206"/>
      <c r="N42" s="205"/>
      <c r="O42" s="206"/>
    </row>
    <row r="43" spans="3:15" s="112" customFormat="1" ht="12.75">
      <c r="D43" s="205"/>
      <c r="E43" s="206"/>
      <c r="F43" s="205"/>
      <c r="G43" s="206"/>
      <c r="H43" s="205"/>
      <c r="I43" s="206"/>
      <c r="J43" s="205"/>
      <c r="K43" s="206"/>
      <c r="L43" s="205"/>
      <c r="M43" s="206"/>
      <c r="N43" s="205"/>
      <c r="O43" s="206"/>
    </row>
    <row r="44" spans="3:15" s="112" customFormat="1" ht="12.75">
      <c r="D44" s="205"/>
      <c r="E44" s="206"/>
      <c r="F44" s="205"/>
      <c r="G44" s="206"/>
      <c r="H44" s="205"/>
      <c r="I44" s="206"/>
      <c r="J44" s="205"/>
      <c r="K44" s="206"/>
      <c r="L44" s="205"/>
      <c r="M44" s="206"/>
      <c r="N44" s="205"/>
      <c r="O44" s="206"/>
    </row>
    <row r="45" spans="3:15" s="112" customFormat="1" ht="12.75">
      <c r="D45" s="205"/>
      <c r="E45" s="206"/>
      <c r="F45" s="205"/>
      <c r="G45" s="206"/>
      <c r="H45" s="205"/>
      <c r="I45" s="206"/>
      <c r="J45" s="205"/>
      <c r="K45" s="206"/>
      <c r="L45" s="205"/>
      <c r="M45" s="206"/>
      <c r="N45" s="205"/>
      <c r="O45" s="206"/>
    </row>
    <row r="46" spans="3:15" s="112" customFormat="1" ht="12.75">
      <c r="D46" s="205"/>
      <c r="E46" s="206"/>
      <c r="F46" s="205"/>
      <c r="G46" s="206"/>
      <c r="H46" s="205"/>
      <c r="I46" s="206"/>
      <c r="J46" s="205"/>
      <c r="K46" s="206"/>
      <c r="L46" s="205"/>
      <c r="M46" s="206"/>
      <c r="N46" s="205"/>
      <c r="O46" s="206"/>
    </row>
    <row r="47" spans="3:15" s="112" customFormat="1" ht="12.75">
      <c r="D47" s="205"/>
      <c r="E47" s="206"/>
      <c r="F47" s="205"/>
      <c r="G47" s="206"/>
      <c r="H47" s="205"/>
      <c r="I47" s="206"/>
      <c r="J47" s="205"/>
      <c r="K47" s="206"/>
      <c r="L47" s="205"/>
      <c r="M47" s="206"/>
      <c r="N47" s="205"/>
      <c r="O47" s="206"/>
    </row>
    <row r="48" spans="3:15" s="112" customFormat="1" ht="12.75">
      <c r="D48" s="205"/>
      <c r="E48" s="206"/>
      <c r="F48" s="205"/>
      <c r="G48" s="206"/>
      <c r="H48" s="205"/>
      <c r="I48" s="206"/>
      <c r="J48" s="205"/>
      <c r="K48" s="206"/>
      <c r="L48" s="205"/>
      <c r="M48" s="206"/>
      <c r="N48" s="205"/>
      <c r="O48" s="206"/>
    </row>
    <row r="49" spans="4:15" s="112" customFormat="1" ht="12.75">
      <c r="D49" s="205"/>
      <c r="E49" s="206"/>
      <c r="F49" s="205"/>
      <c r="G49" s="206"/>
      <c r="H49" s="205"/>
      <c r="I49" s="206"/>
      <c r="J49" s="205"/>
      <c r="K49" s="206"/>
      <c r="L49" s="205"/>
      <c r="M49" s="206"/>
      <c r="N49" s="205"/>
      <c r="O49" s="206"/>
    </row>
    <row r="50" spans="4:15" s="112" customFormat="1" ht="12.75">
      <c r="D50" s="205"/>
      <c r="E50" s="206"/>
      <c r="F50" s="205"/>
      <c r="G50" s="206"/>
      <c r="H50" s="205"/>
      <c r="I50" s="206"/>
      <c r="J50" s="205"/>
      <c r="K50" s="206"/>
      <c r="L50" s="205"/>
      <c r="M50" s="206"/>
      <c r="N50" s="205"/>
      <c r="O50" s="206"/>
    </row>
    <row r="51" spans="4:15" s="112" customFormat="1" ht="12.75">
      <c r="D51" s="205"/>
      <c r="E51" s="206"/>
      <c r="F51" s="205"/>
      <c r="G51" s="206"/>
      <c r="H51" s="205"/>
      <c r="I51" s="206"/>
      <c r="J51" s="205"/>
      <c r="K51" s="206"/>
      <c r="L51" s="205"/>
      <c r="M51" s="206"/>
      <c r="N51" s="205"/>
      <c r="O51" s="206"/>
    </row>
    <row r="52" spans="4:15" s="112" customFormat="1" ht="12.75">
      <c r="D52" s="205"/>
      <c r="E52" s="206"/>
      <c r="F52" s="205"/>
      <c r="G52" s="206"/>
      <c r="H52" s="205"/>
      <c r="I52" s="206"/>
      <c r="J52" s="205"/>
      <c r="K52" s="206"/>
      <c r="L52" s="205"/>
      <c r="M52" s="206"/>
      <c r="N52" s="205"/>
      <c r="O52" s="206"/>
    </row>
    <row r="53" spans="4:15" s="112" customFormat="1" ht="12.75">
      <c r="D53" s="205"/>
      <c r="E53" s="206"/>
      <c r="F53" s="205"/>
      <c r="G53" s="206"/>
      <c r="H53" s="205"/>
      <c r="I53" s="206"/>
      <c r="J53" s="205"/>
      <c r="K53" s="206"/>
      <c r="L53" s="205"/>
      <c r="M53" s="206"/>
      <c r="N53" s="205"/>
      <c r="O53" s="206"/>
    </row>
    <row r="54" spans="4:15" s="112" customFormat="1" ht="12.75">
      <c r="D54" s="205"/>
      <c r="E54" s="206"/>
      <c r="F54" s="205"/>
      <c r="G54" s="206"/>
      <c r="H54" s="205"/>
      <c r="I54" s="206"/>
      <c r="J54" s="205"/>
      <c r="K54" s="206"/>
      <c r="L54" s="205"/>
      <c r="M54" s="206"/>
      <c r="N54" s="205"/>
      <c r="O54" s="206"/>
    </row>
    <row r="55" spans="4:15" s="112" customFormat="1" ht="12.75">
      <c r="D55" s="205"/>
      <c r="E55" s="206"/>
      <c r="F55" s="205"/>
      <c r="G55" s="206"/>
      <c r="H55" s="205"/>
      <c r="I55" s="206"/>
      <c r="J55" s="205"/>
      <c r="K55" s="206"/>
      <c r="L55" s="205"/>
      <c r="M55" s="206"/>
      <c r="N55" s="205"/>
      <c r="O55" s="206"/>
    </row>
    <row r="56" spans="4:15" s="112" customFormat="1" ht="12.75">
      <c r="D56" s="205"/>
      <c r="E56" s="206"/>
      <c r="F56" s="205"/>
      <c r="G56" s="206"/>
      <c r="H56" s="205"/>
      <c r="I56" s="206"/>
      <c r="J56" s="205"/>
      <c r="K56" s="206"/>
      <c r="L56" s="205"/>
      <c r="M56" s="206"/>
      <c r="N56" s="205"/>
      <c r="O56" s="206"/>
    </row>
    <row r="57" spans="4:15" s="112" customFormat="1" ht="12.75">
      <c r="D57" s="205"/>
      <c r="E57" s="206"/>
      <c r="F57" s="205"/>
      <c r="G57" s="206"/>
      <c r="H57" s="205"/>
      <c r="I57" s="206"/>
      <c r="J57" s="205"/>
      <c r="K57" s="206"/>
      <c r="L57" s="205"/>
      <c r="M57" s="206"/>
      <c r="N57" s="205"/>
      <c r="O57" s="206"/>
    </row>
    <row r="58" spans="4:15" s="112" customFormat="1" ht="12.75">
      <c r="D58" s="205"/>
      <c r="E58" s="206"/>
      <c r="F58" s="205"/>
      <c r="G58" s="206"/>
      <c r="H58" s="205"/>
      <c r="I58" s="206"/>
      <c r="J58" s="205"/>
      <c r="K58" s="206"/>
      <c r="L58" s="205"/>
      <c r="M58" s="206"/>
      <c r="N58" s="205"/>
      <c r="O58" s="206"/>
    </row>
    <row r="59" spans="4:15" s="112" customFormat="1" ht="12.75">
      <c r="D59" s="205"/>
      <c r="E59" s="206"/>
      <c r="F59" s="205"/>
      <c r="G59" s="206"/>
      <c r="H59" s="205"/>
      <c r="I59" s="206"/>
      <c r="J59" s="205"/>
      <c r="K59" s="206"/>
      <c r="L59" s="205"/>
      <c r="M59" s="206"/>
      <c r="N59" s="205"/>
      <c r="O59" s="206"/>
    </row>
    <row r="60" spans="4:15" s="112" customFormat="1" ht="12.75">
      <c r="D60" s="205"/>
      <c r="E60" s="206"/>
      <c r="F60" s="205"/>
      <c r="G60" s="206"/>
      <c r="H60" s="205"/>
      <c r="I60" s="206"/>
      <c r="J60" s="205"/>
      <c r="K60" s="206"/>
      <c r="L60" s="205"/>
      <c r="M60" s="206"/>
      <c r="N60" s="205"/>
      <c r="O60" s="206"/>
    </row>
    <row r="61" spans="4:15" s="112" customFormat="1" ht="12.75">
      <c r="D61" s="205"/>
      <c r="E61" s="206"/>
      <c r="F61" s="205"/>
      <c r="G61" s="206"/>
      <c r="H61" s="205"/>
      <c r="I61" s="206"/>
      <c r="J61" s="205"/>
      <c r="K61" s="206"/>
      <c r="L61" s="205"/>
      <c r="M61" s="206"/>
      <c r="N61" s="205"/>
      <c r="O61" s="206"/>
    </row>
    <row r="62" spans="4:15" s="112" customFormat="1" ht="12.75">
      <c r="D62" s="205"/>
      <c r="E62" s="206"/>
      <c r="F62" s="205"/>
      <c r="G62" s="206"/>
      <c r="H62" s="205"/>
      <c r="I62" s="206"/>
      <c r="J62" s="205"/>
      <c r="K62" s="206"/>
      <c r="L62" s="205"/>
      <c r="M62" s="206"/>
      <c r="N62" s="205"/>
      <c r="O62" s="206"/>
    </row>
    <row r="63" spans="4:15" s="112" customFormat="1" ht="12.75">
      <c r="D63" s="205"/>
      <c r="E63" s="206"/>
      <c r="F63" s="205"/>
      <c r="G63" s="206"/>
      <c r="H63" s="205"/>
      <c r="I63" s="206"/>
      <c r="J63" s="205"/>
      <c r="K63" s="206"/>
      <c r="L63" s="205"/>
      <c r="M63" s="206"/>
      <c r="N63" s="205"/>
      <c r="O63" s="206"/>
    </row>
    <row r="64" spans="4:15" s="112" customFormat="1" ht="12.75">
      <c r="D64" s="205"/>
      <c r="E64" s="206"/>
      <c r="F64" s="205"/>
      <c r="G64" s="206"/>
      <c r="H64" s="205"/>
      <c r="I64" s="206"/>
      <c r="J64" s="205"/>
      <c r="K64" s="206"/>
      <c r="L64" s="205"/>
      <c r="M64" s="206"/>
      <c r="N64" s="205"/>
      <c r="O64" s="206"/>
    </row>
    <row r="65" spans="4:15" s="112" customFormat="1" ht="12.75">
      <c r="D65" s="205"/>
      <c r="E65" s="206"/>
      <c r="F65" s="205"/>
      <c r="G65" s="206"/>
      <c r="H65" s="205"/>
      <c r="I65" s="206"/>
      <c r="J65" s="205"/>
      <c r="K65" s="206"/>
      <c r="L65" s="205"/>
      <c r="M65" s="206"/>
      <c r="N65" s="205"/>
      <c r="O65" s="206"/>
    </row>
    <row r="66" spans="4:15" s="112" customFormat="1" ht="12.75">
      <c r="D66" s="205"/>
      <c r="E66" s="206"/>
      <c r="F66" s="205"/>
      <c r="G66" s="206"/>
      <c r="H66" s="205"/>
      <c r="I66" s="206"/>
      <c r="J66" s="205"/>
      <c r="K66" s="206"/>
      <c r="L66" s="205"/>
      <c r="M66" s="206"/>
      <c r="N66" s="205"/>
      <c r="O66" s="206"/>
    </row>
    <row r="67" spans="4:15" s="112" customFormat="1" ht="12.75">
      <c r="D67" s="205"/>
      <c r="E67" s="206"/>
      <c r="F67" s="205"/>
      <c r="G67" s="206"/>
      <c r="H67" s="205"/>
      <c r="I67" s="206"/>
      <c r="J67" s="205"/>
      <c r="K67" s="206"/>
      <c r="L67" s="205"/>
      <c r="M67" s="206"/>
      <c r="N67" s="205"/>
      <c r="O67" s="206"/>
    </row>
    <row r="68" spans="4:15" s="112" customFormat="1" ht="12.75">
      <c r="D68" s="205"/>
      <c r="E68" s="206"/>
      <c r="F68" s="205"/>
      <c r="G68" s="206"/>
      <c r="H68" s="205"/>
      <c r="I68" s="206"/>
      <c r="J68" s="205"/>
      <c r="K68" s="206"/>
      <c r="L68" s="205"/>
      <c r="M68" s="206"/>
      <c r="N68" s="205"/>
      <c r="O68" s="206"/>
    </row>
    <row r="69" spans="4:15" s="112" customFormat="1" ht="12.75">
      <c r="D69" s="205"/>
      <c r="E69" s="206"/>
      <c r="F69" s="205"/>
      <c r="G69" s="206"/>
      <c r="H69" s="205"/>
      <c r="I69" s="206"/>
      <c r="J69" s="205"/>
      <c r="K69" s="206"/>
      <c r="L69" s="205"/>
      <c r="M69" s="206"/>
      <c r="N69" s="205"/>
      <c r="O69" s="206"/>
    </row>
    <row r="70" spans="4:15" s="112" customFormat="1" ht="12.75">
      <c r="D70" s="205"/>
      <c r="E70" s="206"/>
      <c r="F70" s="205"/>
      <c r="G70" s="206"/>
      <c r="H70" s="205"/>
      <c r="I70" s="206"/>
      <c r="J70" s="205"/>
      <c r="K70" s="206"/>
      <c r="L70" s="205"/>
      <c r="M70" s="206"/>
      <c r="N70" s="205"/>
      <c r="O70" s="206"/>
    </row>
    <row r="71" spans="4:15" s="112" customFormat="1" ht="12.75">
      <c r="D71" s="205"/>
      <c r="E71" s="206"/>
      <c r="F71" s="205"/>
      <c r="G71" s="206"/>
      <c r="H71" s="205"/>
      <c r="I71" s="206"/>
      <c r="J71" s="205"/>
      <c r="K71" s="206"/>
      <c r="L71" s="205"/>
      <c r="M71" s="206"/>
      <c r="N71" s="205"/>
      <c r="O71" s="206"/>
    </row>
    <row r="72" spans="4:15" s="112" customFormat="1" ht="12.75">
      <c r="D72" s="205"/>
      <c r="E72" s="206"/>
      <c r="F72" s="205"/>
      <c r="G72" s="206"/>
      <c r="H72" s="205"/>
      <c r="I72" s="206"/>
      <c r="J72" s="205"/>
      <c r="K72" s="206"/>
      <c r="L72" s="205"/>
      <c r="M72" s="206"/>
      <c r="N72" s="205"/>
      <c r="O72" s="206"/>
    </row>
    <row r="73" spans="4:15" s="112" customFormat="1" ht="12.75">
      <c r="D73" s="205"/>
      <c r="E73" s="206"/>
      <c r="F73" s="205"/>
      <c r="G73" s="206"/>
      <c r="H73" s="205"/>
      <c r="I73" s="206"/>
      <c r="J73" s="205"/>
      <c r="K73" s="206"/>
      <c r="L73" s="205"/>
      <c r="M73" s="206"/>
      <c r="N73" s="205"/>
      <c r="O73" s="206"/>
    </row>
    <row r="74" spans="4:15" s="112" customFormat="1" ht="12.75">
      <c r="D74" s="205"/>
      <c r="E74" s="206"/>
      <c r="F74" s="205"/>
      <c r="G74" s="206"/>
      <c r="H74" s="205"/>
      <c r="I74" s="206"/>
      <c r="J74" s="205"/>
      <c r="K74" s="206"/>
      <c r="L74" s="205"/>
      <c r="M74" s="206"/>
      <c r="N74" s="205"/>
      <c r="O74" s="206"/>
    </row>
    <row r="75" spans="4:15" s="112" customFormat="1" ht="12.75">
      <c r="D75" s="205"/>
      <c r="E75" s="206"/>
      <c r="F75" s="205"/>
      <c r="G75" s="206"/>
      <c r="H75" s="205"/>
      <c r="I75" s="206"/>
      <c r="J75" s="205"/>
      <c r="K75" s="206"/>
      <c r="L75" s="205"/>
      <c r="M75" s="206"/>
      <c r="N75" s="205"/>
      <c r="O75" s="206"/>
    </row>
    <row r="76" spans="4:15" s="112" customFormat="1" ht="12.75">
      <c r="D76" s="205"/>
      <c r="E76" s="206"/>
      <c r="F76" s="205"/>
      <c r="G76" s="206"/>
      <c r="H76" s="205"/>
      <c r="I76" s="206"/>
      <c r="J76" s="205"/>
      <c r="K76" s="206"/>
      <c r="L76" s="205"/>
      <c r="M76" s="206"/>
      <c r="N76" s="205"/>
      <c r="O76" s="206"/>
    </row>
    <row r="77" spans="4:15" s="112" customFormat="1" ht="12.75">
      <c r="D77" s="205"/>
      <c r="E77" s="206"/>
      <c r="F77" s="205"/>
      <c r="G77" s="206"/>
      <c r="H77" s="205"/>
      <c r="I77" s="206"/>
      <c r="J77" s="205"/>
      <c r="K77" s="206"/>
      <c r="L77" s="205"/>
      <c r="M77" s="206"/>
      <c r="N77" s="205"/>
      <c r="O77" s="206"/>
    </row>
    <row r="78" spans="4:15" s="112" customFormat="1" ht="12.75">
      <c r="D78" s="205"/>
      <c r="E78" s="206"/>
      <c r="F78" s="205"/>
      <c r="G78" s="206"/>
      <c r="H78" s="205"/>
      <c r="I78" s="206"/>
      <c r="J78" s="205"/>
      <c r="K78" s="206"/>
      <c r="L78" s="205"/>
      <c r="M78" s="206"/>
      <c r="N78" s="205"/>
      <c r="O78" s="206"/>
    </row>
    <row r="79" spans="4:15" s="112" customFormat="1" ht="12.75">
      <c r="D79" s="205"/>
      <c r="E79" s="206"/>
      <c r="F79" s="205"/>
      <c r="G79" s="206"/>
      <c r="H79" s="205"/>
      <c r="I79" s="206"/>
      <c r="J79" s="205"/>
      <c r="K79" s="206"/>
      <c r="L79" s="205"/>
      <c r="M79" s="206"/>
      <c r="N79" s="205"/>
      <c r="O79" s="206"/>
    </row>
    <row r="80" spans="4:15" s="112" customFormat="1" ht="12.75">
      <c r="D80" s="205"/>
      <c r="E80" s="206"/>
      <c r="F80" s="205"/>
      <c r="G80" s="206"/>
      <c r="H80" s="205"/>
      <c r="I80" s="206"/>
      <c r="J80" s="205"/>
      <c r="K80" s="206"/>
      <c r="L80" s="205"/>
      <c r="M80" s="206"/>
      <c r="N80" s="205"/>
      <c r="O80" s="206"/>
    </row>
    <row r="81" spans="4:15" s="112" customFormat="1" ht="12.75">
      <c r="D81" s="205"/>
      <c r="E81" s="206"/>
      <c r="F81" s="205"/>
      <c r="G81" s="206"/>
      <c r="H81" s="205"/>
      <c r="I81" s="206"/>
      <c r="J81" s="205"/>
      <c r="K81" s="206"/>
      <c r="L81" s="205"/>
      <c r="M81" s="206"/>
      <c r="N81" s="205"/>
      <c r="O81" s="206"/>
    </row>
    <row r="82" spans="4:15" s="112" customFormat="1" ht="12.75">
      <c r="D82" s="205"/>
      <c r="E82" s="206"/>
      <c r="F82" s="205"/>
      <c r="G82" s="206"/>
      <c r="H82" s="205"/>
      <c r="I82" s="206"/>
      <c r="J82" s="205"/>
      <c r="K82" s="206"/>
      <c r="L82" s="205"/>
      <c r="M82" s="206"/>
      <c r="N82" s="205"/>
      <c r="O82" s="206"/>
    </row>
    <row r="83" spans="4:15" s="112" customFormat="1" ht="12.75">
      <c r="D83" s="205"/>
      <c r="E83" s="206"/>
      <c r="F83" s="205"/>
      <c r="G83" s="206"/>
      <c r="H83" s="205"/>
      <c r="I83" s="206"/>
      <c r="J83" s="205"/>
      <c r="K83" s="206"/>
      <c r="L83" s="205"/>
      <c r="M83" s="206"/>
      <c r="N83" s="205"/>
      <c r="O83" s="206"/>
    </row>
    <row r="84" spans="4:15" s="112" customFormat="1" ht="12.75">
      <c r="D84" s="205"/>
      <c r="E84" s="206"/>
      <c r="F84" s="205"/>
      <c r="G84" s="206"/>
      <c r="H84" s="205"/>
      <c r="I84" s="206"/>
      <c r="J84" s="205"/>
      <c r="K84" s="206"/>
      <c r="L84" s="205"/>
      <c r="M84" s="206"/>
      <c r="N84" s="205"/>
      <c r="O84" s="206"/>
    </row>
    <row r="85" spans="4:15" s="112" customFormat="1" ht="12.75">
      <c r="D85" s="205"/>
      <c r="E85" s="206"/>
      <c r="F85" s="205"/>
      <c r="G85" s="206"/>
      <c r="H85" s="205"/>
      <c r="I85" s="206"/>
      <c r="J85" s="205"/>
      <c r="K85" s="206"/>
      <c r="L85" s="205"/>
      <c r="M85" s="206"/>
      <c r="N85" s="205"/>
      <c r="O85" s="206"/>
    </row>
    <row r="86" spans="4:15" s="112" customFormat="1" ht="12.75">
      <c r="D86" s="205"/>
      <c r="E86" s="206"/>
      <c r="F86" s="205"/>
      <c r="G86" s="206"/>
      <c r="H86" s="205"/>
      <c r="I86" s="206"/>
      <c r="J86" s="205"/>
      <c r="K86" s="206"/>
      <c r="L86" s="205"/>
      <c r="M86" s="206"/>
      <c r="N86" s="205"/>
      <c r="O86" s="206"/>
    </row>
    <row r="87" spans="4:15" s="112" customFormat="1" ht="12.75">
      <c r="D87" s="205"/>
      <c r="E87" s="206"/>
      <c r="F87" s="205"/>
      <c r="G87" s="206"/>
      <c r="H87" s="205"/>
      <c r="I87" s="206"/>
      <c r="J87" s="205"/>
      <c r="K87" s="206"/>
      <c r="L87" s="205"/>
      <c r="M87" s="206"/>
      <c r="N87" s="205"/>
      <c r="O87" s="206"/>
    </row>
    <row r="88" spans="4:15" s="112" customFormat="1" ht="12.75">
      <c r="D88" s="205"/>
      <c r="E88" s="206"/>
      <c r="F88" s="205"/>
      <c r="G88" s="206"/>
      <c r="H88" s="205"/>
      <c r="I88" s="206"/>
      <c r="J88" s="205"/>
      <c r="K88" s="206"/>
      <c r="L88" s="205"/>
      <c r="M88" s="206"/>
      <c r="N88" s="205"/>
      <c r="O88" s="206"/>
    </row>
    <row r="89" spans="4:15" s="112" customFormat="1" ht="12.75">
      <c r="D89" s="205"/>
      <c r="E89" s="206"/>
      <c r="F89" s="205"/>
      <c r="G89" s="206"/>
      <c r="H89" s="205"/>
      <c r="I89" s="206"/>
      <c r="J89" s="205"/>
      <c r="K89" s="206"/>
      <c r="L89" s="205"/>
      <c r="M89" s="206"/>
      <c r="N89" s="205"/>
      <c r="O89" s="206"/>
    </row>
    <row r="90" spans="4:15" s="112" customFormat="1" ht="12.75">
      <c r="D90" s="205"/>
      <c r="E90" s="206"/>
      <c r="F90" s="205"/>
      <c r="G90" s="206"/>
      <c r="H90" s="205"/>
      <c r="I90" s="206"/>
      <c r="J90" s="205"/>
      <c r="K90" s="206"/>
      <c r="L90" s="205"/>
      <c r="M90" s="206"/>
      <c r="N90" s="205"/>
      <c r="O90" s="206"/>
    </row>
    <row r="91" spans="4:15" s="112" customFormat="1" ht="12.75">
      <c r="D91" s="205"/>
      <c r="E91" s="206"/>
      <c r="F91" s="205"/>
      <c r="G91" s="206"/>
      <c r="H91" s="205"/>
      <c r="I91" s="206"/>
      <c r="J91" s="205"/>
      <c r="K91" s="206"/>
      <c r="L91" s="205"/>
      <c r="M91" s="206"/>
      <c r="N91" s="205"/>
      <c r="O91" s="206"/>
    </row>
    <row r="92" spans="4:15" s="112" customFormat="1" ht="12.75">
      <c r="D92" s="205"/>
      <c r="E92" s="206"/>
      <c r="F92" s="205"/>
      <c r="G92" s="206"/>
      <c r="H92" s="205"/>
      <c r="I92" s="206"/>
      <c r="J92" s="205"/>
      <c r="K92" s="206"/>
      <c r="L92" s="205"/>
      <c r="M92" s="206"/>
      <c r="N92" s="205"/>
      <c r="O92" s="206"/>
    </row>
    <row r="93" spans="4:15" s="112" customFormat="1" ht="12.75">
      <c r="D93" s="205"/>
      <c r="E93" s="206"/>
      <c r="F93" s="205"/>
      <c r="G93" s="206"/>
      <c r="H93" s="205"/>
      <c r="I93" s="206"/>
      <c r="J93" s="205"/>
      <c r="K93" s="206"/>
      <c r="L93" s="205"/>
      <c r="M93" s="206"/>
      <c r="N93" s="205"/>
      <c r="O93" s="206"/>
    </row>
    <row r="94" spans="4:15" s="112" customFormat="1" ht="12.75">
      <c r="D94" s="205"/>
      <c r="E94" s="206"/>
      <c r="F94" s="205"/>
      <c r="G94" s="206"/>
      <c r="H94" s="205"/>
      <c r="I94" s="206"/>
      <c r="J94" s="205"/>
      <c r="K94" s="206"/>
      <c r="L94" s="205"/>
      <c r="M94" s="206"/>
      <c r="N94" s="205"/>
      <c r="O94" s="206"/>
    </row>
    <row r="95" spans="4:15" s="112" customFormat="1" ht="12.75">
      <c r="D95" s="205"/>
      <c r="E95" s="206"/>
      <c r="F95" s="205"/>
      <c r="G95" s="206"/>
      <c r="H95" s="205"/>
      <c r="I95" s="206"/>
      <c r="J95" s="205"/>
      <c r="K95" s="206"/>
      <c r="L95" s="205"/>
      <c r="M95" s="206"/>
      <c r="N95" s="205"/>
      <c r="O95" s="206"/>
    </row>
    <row r="96" spans="4:15" s="112" customFormat="1" ht="12.75">
      <c r="D96" s="205"/>
      <c r="E96" s="206"/>
      <c r="F96" s="205"/>
      <c r="G96" s="206"/>
      <c r="H96" s="205"/>
      <c r="I96" s="206"/>
      <c r="J96" s="205"/>
      <c r="K96" s="206"/>
      <c r="L96" s="205"/>
      <c r="M96" s="206"/>
      <c r="N96" s="205"/>
      <c r="O96" s="206"/>
    </row>
    <row r="97" spans="4:15" s="112" customFormat="1" ht="12.75">
      <c r="D97" s="205"/>
      <c r="E97" s="206"/>
      <c r="F97" s="205"/>
      <c r="G97" s="206"/>
      <c r="H97" s="205"/>
      <c r="I97" s="206"/>
      <c r="J97" s="205"/>
      <c r="K97" s="206"/>
      <c r="L97" s="205"/>
      <c r="M97" s="206"/>
      <c r="N97" s="205"/>
      <c r="O97" s="206"/>
    </row>
    <row r="98" spans="4:15" s="112" customFormat="1" ht="12.75">
      <c r="D98" s="205"/>
      <c r="E98" s="206"/>
      <c r="F98" s="205"/>
      <c r="G98" s="206"/>
      <c r="H98" s="205"/>
      <c r="I98" s="206"/>
      <c r="J98" s="205"/>
      <c r="K98" s="206"/>
      <c r="L98" s="205"/>
      <c r="M98" s="206"/>
      <c r="N98" s="205"/>
      <c r="O98" s="206"/>
    </row>
    <row r="99" spans="4:15" s="112" customFormat="1" ht="12.75">
      <c r="D99" s="205"/>
      <c r="E99" s="206"/>
      <c r="F99" s="205"/>
      <c r="G99" s="206"/>
      <c r="H99" s="205"/>
      <c r="I99" s="206"/>
      <c r="J99" s="205"/>
      <c r="K99" s="206"/>
      <c r="L99" s="205"/>
      <c r="M99" s="206"/>
      <c r="N99" s="205"/>
      <c r="O99" s="206"/>
    </row>
    <row r="100" spans="4:15" s="112" customFormat="1" ht="12.75">
      <c r="D100" s="205"/>
      <c r="E100" s="206"/>
      <c r="F100" s="205"/>
      <c r="G100" s="206"/>
      <c r="H100" s="205"/>
      <c r="I100" s="206"/>
      <c r="J100" s="205"/>
      <c r="K100" s="206"/>
      <c r="L100" s="205"/>
      <c r="M100" s="206"/>
      <c r="N100" s="205"/>
      <c r="O100" s="206"/>
    </row>
    <row r="101" spans="4:15" s="112" customFormat="1" ht="12.75">
      <c r="D101" s="205"/>
      <c r="E101" s="206"/>
      <c r="F101" s="205"/>
      <c r="G101" s="206"/>
      <c r="H101" s="205"/>
      <c r="I101" s="206"/>
      <c r="J101" s="205"/>
      <c r="K101" s="206"/>
      <c r="L101" s="205"/>
      <c r="M101" s="206"/>
      <c r="N101" s="205"/>
      <c r="O101" s="206"/>
    </row>
    <row r="102" spans="4:15" s="112" customFormat="1" ht="12.75">
      <c r="D102" s="205"/>
      <c r="E102" s="206"/>
      <c r="F102" s="205"/>
      <c r="G102" s="206"/>
      <c r="H102" s="205"/>
      <c r="I102" s="206"/>
      <c r="J102" s="205"/>
      <c r="K102" s="206"/>
      <c r="L102" s="205"/>
      <c r="M102" s="206"/>
      <c r="N102" s="205"/>
      <c r="O102" s="206"/>
    </row>
    <row r="103" spans="4:15" s="112" customFormat="1" ht="12.75">
      <c r="D103" s="205"/>
      <c r="E103" s="206"/>
      <c r="F103" s="205"/>
      <c r="G103" s="206"/>
      <c r="H103" s="205"/>
      <c r="I103" s="206"/>
      <c r="J103" s="205"/>
      <c r="K103" s="206"/>
      <c r="L103" s="205"/>
      <c r="M103" s="206"/>
      <c r="N103" s="205"/>
      <c r="O103" s="206"/>
    </row>
    <row r="104" spans="4:15" s="112" customFormat="1" ht="12.75">
      <c r="D104" s="205"/>
      <c r="E104" s="206"/>
      <c r="F104" s="205"/>
      <c r="G104" s="206"/>
      <c r="H104" s="205"/>
      <c r="I104" s="206"/>
      <c r="J104" s="205"/>
      <c r="K104" s="206"/>
      <c r="L104" s="205"/>
      <c r="M104" s="206"/>
      <c r="N104" s="205"/>
      <c r="O104" s="206"/>
    </row>
    <row r="105" spans="4:15" s="112" customFormat="1" ht="12.75">
      <c r="D105" s="205"/>
      <c r="E105" s="206"/>
      <c r="F105" s="205"/>
      <c r="G105" s="206"/>
      <c r="H105" s="205"/>
      <c r="I105" s="206"/>
      <c r="J105" s="205"/>
      <c r="K105" s="206"/>
      <c r="L105" s="205"/>
      <c r="M105" s="206"/>
      <c r="N105" s="205"/>
      <c r="O105" s="206"/>
    </row>
    <row r="106" spans="4:15" s="112" customFormat="1" ht="12.75">
      <c r="D106" s="205"/>
      <c r="E106" s="206"/>
      <c r="F106" s="205"/>
      <c r="G106" s="206"/>
      <c r="H106" s="205"/>
      <c r="I106" s="206"/>
      <c r="J106" s="205"/>
      <c r="K106" s="206"/>
      <c r="L106" s="205"/>
      <c r="M106" s="206"/>
      <c r="N106" s="205"/>
      <c r="O106" s="206"/>
    </row>
    <row r="107" spans="4:15" s="112" customFormat="1" ht="12.75">
      <c r="D107" s="205"/>
      <c r="E107" s="206"/>
      <c r="F107" s="205"/>
      <c r="G107" s="206"/>
      <c r="H107" s="205"/>
      <c r="I107" s="206"/>
      <c r="J107" s="205"/>
      <c r="K107" s="206"/>
      <c r="L107" s="205"/>
      <c r="M107" s="206"/>
      <c r="N107" s="205"/>
      <c r="O107" s="206"/>
    </row>
    <row r="108" spans="4:15" s="112" customFormat="1" ht="12.75">
      <c r="D108" s="205"/>
      <c r="E108" s="206"/>
      <c r="F108" s="205"/>
      <c r="G108" s="206"/>
      <c r="H108" s="205"/>
      <c r="I108" s="206"/>
      <c r="J108" s="205"/>
      <c r="K108" s="206"/>
      <c r="L108" s="205"/>
      <c r="M108" s="206"/>
      <c r="N108" s="205"/>
      <c r="O108" s="206"/>
    </row>
    <row r="109" spans="4:15" s="112" customFormat="1" ht="12.75">
      <c r="D109" s="205"/>
      <c r="E109" s="206"/>
      <c r="F109" s="205"/>
      <c r="G109" s="206"/>
      <c r="H109" s="205"/>
      <c r="I109" s="206"/>
      <c r="J109" s="205"/>
      <c r="K109" s="206"/>
      <c r="L109" s="205"/>
      <c r="M109" s="206"/>
      <c r="N109" s="205"/>
      <c r="O109" s="206"/>
    </row>
    <row r="110" spans="4:15" s="112" customFormat="1" ht="12.75">
      <c r="D110" s="205"/>
      <c r="E110" s="206"/>
      <c r="F110" s="205"/>
      <c r="G110" s="206"/>
      <c r="H110" s="205"/>
      <c r="I110" s="206"/>
      <c r="J110" s="205"/>
      <c r="K110" s="206"/>
      <c r="L110" s="205"/>
      <c r="M110" s="206"/>
      <c r="N110" s="205"/>
      <c r="O110" s="206"/>
    </row>
    <row r="111" spans="4:15" s="112" customFormat="1" ht="12.75">
      <c r="D111" s="205"/>
      <c r="E111" s="206"/>
      <c r="F111" s="205"/>
      <c r="G111" s="206"/>
      <c r="H111" s="205"/>
      <c r="I111" s="206"/>
      <c r="J111" s="205"/>
      <c r="K111" s="206"/>
      <c r="L111" s="205"/>
      <c r="M111" s="206"/>
      <c r="N111" s="205"/>
      <c r="O111" s="206"/>
    </row>
    <row r="112" spans="4:15" s="112" customFormat="1" ht="12.75">
      <c r="D112" s="205"/>
      <c r="E112" s="206"/>
      <c r="F112" s="205"/>
      <c r="G112" s="206"/>
      <c r="H112" s="205"/>
      <c r="I112" s="206"/>
      <c r="J112" s="205"/>
      <c r="K112" s="206"/>
      <c r="L112" s="205"/>
      <c r="M112" s="206"/>
      <c r="N112" s="205"/>
      <c r="O112" s="206"/>
    </row>
    <row r="113" spans="4:15" s="112" customFormat="1" ht="12.75">
      <c r="D113" s="205"/>
      <c r="E113" s="206"/>
      <c r="F113" s="205"/>
      <c r="G113" s="206"/>
      <c r="H113" s="205"/>
      <c r="I113" s="206"/>
      <c r="J113" s="205"/>
      <c r="K113" s="206"/>
      <c r="L113" s="205"/>
      <c r="M113" s="206"/>
      <c r="N113" s="205"/>
      <c r="O113" s="206"/>
    </row>
    <row r="114" spans="4:15" s="112" customFormat="1" ht="12.75">
      <c r="D114" s="205"/>
      <c r="E114" s="206"/>
      <c r="F114" s="205"/>
      <c r="G114" s="206"/>
      <c r="H114" s="205"/>
      <c r="I114" s="206"/>
      <c r="J114" s="205"/>
      <c r="K114" s="206"/>
      <c r="L114" s="205"/>
      <c r="M114" s="206"/>
      <c r="N114" s="205"/>
      <c r="O114" s="206"/>
    </row>
    <row r="115" spans="4:15" s="112" customFormat="1" ht="12.75">
      <c r="D115" s="205"/>
      <c r="E115" s="206"/>
      <c r="F115" s="205"/>
      <c r="G115" s="206"/>
      <c r="H115" s="205"/>
      <c r="I115" s="206"/>
      <c r="J115" s="205"/>
      <c r="K115" s="206"/>
      <c r="L115" s="205"/>
      <c r="M115" s="206"/>
      <c r="N115" s="205"/>
      <c r="O115" s="206"/>
    </row>
    <row r="116" spans="4:15" s="112" customFormat="1" ht="12.75">
      <c r="D116" s="205"/>
      <c r="E116" s="206"/>
      <c r="F116" s="205"/>
      <c r="G116" s="206"/>
      <c r="H116" s="205"/>
      <c r="I116" s="206"/>
      <c r="J116" s="205"/>
      <c r="K116" s="206"/>
      <c r="L116" s="205"/>
      <c r="M116" s="206"/>
      <c r="N116" s="205"/>
      <c r="O116" s="206"/>
    </row>
    <row r="117" spans="4:15" s="112" customFormat="1" ht="12.75">
      <c r="D117" s="205"/>
      <c r="E117" s="206"/>
      <c r="F117" s="205"/>
      <c r="G117" s="206"/>
      <c r="H117" s="205"/>
      <c r="I117" s="206"/>
      <c r="J117" s="205"/>
      <c r="K117" s="206"/>
      <c r="L117" s="205"/>
      <c r="M117" s="206"/>
      <c r="N117" s="205"/>
      <c r="O117" s="206"/>
    </row>
    <row r="118" spans="4:15" s="112" customFormat="1" ht="12.75">
      <c r="D118" s="205"/>
      <c r="E118" s="206"/>
      <c r="F118" s="205"/>
      <c r="G118" s="206"/>
      <c r="H118" s="205"/>
      <c r="I118" s="206"/>
      <c r="J118" s="205"/>
      <c r="K118" s="206"/>
      <c r="L118" s="205"/>
      <c r="M118" s="206"/>
      <c r="N118" s="205"/>
      <c r="O118" s="206"/>
    </row>
    <row r="119" spans="4:15" s="112" customFormat="1" ht="12.75">
      <c r="D119" s="205"/>
      <c r="E119" s="206"/>
      <c r="F119" s="205"/>
      <c r="G119" s="206"/>
      <c r="H119" s="205"/>
      <c r="I119" s="206"/>
      <c r="J119" s="205"/>
      <c r="K119" s="206"/>
      <c r="L119" s="205"/>
      <c r="M119" s="206"/>
      <c r="N119" s="205"/>
      <c r="O119" s="206"/>
    </row>
    <row r="120" spans="4:15" s="112" customFormat="1" ht="12.75">
      <c r="D120" s="205"/>
      <c r="E120" s="206"/>
      <c r="F120" s="205"/>
      <c r="G120" s="206"/>
      <c r="H120" s="205"/>
      <c r="I120" s="206"/>
      <c r="J120" s="205"/>
      <c r="K120" s="206"/>
      <c r="L120" s="205"/>
      <c r="M120" s="206"/>
      <c r="N120" s="205"/>
      <c r="O120" s="206"/>
    </row>
    <row r="121" spans="4:15" s="112" customFormat="1" ht="12.75">
      <c r="D121" s="205"/>
      <c r="E121" s="206"/>
      <c r="F121" s="205"/>
      <c r="G121" s="206"/>
      <c r="H121" s="205"/>
      <c r="I121" s="206"/>
      <c r="J121" s="205"/>
      <c r="K121" s="206"/>
      <c r="L121" s="205"/>
      <c r="M121" s="206"/>
      <c r="N121" s="205"/>
      <c r="O121" s="206"/>
    </row>
    <row r="122" spans="4:15" s="112" customFormat="1" ht="12.75">
      <c r="D122" s="205"/>
      <c r="E122" s="206"/>
      <c r="F122" s="205"/>
      <c r="G122" s="206"/>
      <c r="H122" s="205"/>
      <c r="I122" s="206"/>
      <c r="J122" s="205"/>
      <c r="K122" s="206"/>
      <c r="L122" s="205"/>
      <c r="M122" s="206"/>
      <c r="N122" s="205"/>
      <c r="O122" s="206"/>
    </row>
    <row r="123" spans="4:15" s="112" customFormat="1" ht="12.75">
      <c r="D123" s="205"/>
      <c r="E123" s="206"/>
      <c r="F123" s="205"/>
      <c r="G123" s="206"/>
      <c r="H123" s="205"/>
      <c r="I123" s="206"/>
      <c r="J123" s="205"/>
      <c r="K123" s="206"/>
      <c r="L123" s="205"/>
      <c r="M123" s="206"/>
      <c r="N123" s="205"/>
      <c r="O123" s="206"/>
    </row>
    <row r="124" spans="4:15" s="112" customFormat="1" ht="12.75">
      <c r="D124" s="205"/>
      <c r="E124" s="206"/>
      <c r="F124" s="205"/>
      <c r="G124" s="206"/>
      <c r="H124" s="205"/>
      <c r="I124" s="206"/>
      <c r="J124" s="205"/>
      <c r="K124" s="206"/>
      <c r="L124" s="205"/>
      <c r="M124" s="206"/>
      <c r="N124" s="205"/>
      <c r="O124" s="206"/>
    </row>
    <row r="125" spans="4:15" s="112" customFormat="1" ht="12.75">
      <c r="D125" s="205"/>
      <c r="E125" s="206"/>
      <c r="F125" s="205"/>
      <c r="G125" s="206"/>
      <c r="H125" s="205"/>
      <c r="I125" s="206"/>
      <c r="J125" s="205"/>
      <c r="K125" s="206"/>
      <c r="L125" s="205"/>
      <c r="M125" s="206"/>
      <c r="N125" s="205"/>
      <c r="O125" s="206"/>
    </row>
    <row r="126" spans="4:15" s="112" customFormat="1" ht="12.75">
      <c r="D126" s="205"/>
      <c r="E126" s="206"/>
      <c r="F126" s="205"/>
      <c r="G126" s="206"/>
      <c r="H126" s="205"/>
      <c r="I126" s="206"/>
      <c r="J126" s="205"/>
      <c r="K126" s="206"/>
      <c r="L126" s="205"/>
      <c r="M126" s="206"/>
      <c r="N126" s="205"/>
      <c r="O126" s="206"/>
    </row>
    <row r="127" spans="4:15" s="112" customFormat="1" ht="12.75">
      <c r="D127" s="205"/>
      <c r="E127" s="206"/>
      <c r="F127" s="205"/>
      <c r="G127" s="206"/>
      <c r="H127" s="205"/>
      <c r="I127" s="206"/>
      <c r="J127" s="205"/>
      <c r="K127" s="206"/>
      <c r="L127" s="205"/>
      <c r="M127" s="206"/>
      <c r="N127" s="205"/>
      <c r="O127" s="206"/>
    </row>
    <row r="128" spans="4:15" s="112" customFormat="1" ht="12.75">
      <c r="D128" s="205"/>
      <c r="E128" s="206"/>
      <c r="F128" s="205"/>
      <c r="G128" s="206"/>
      <c r="H128" s="205"/>
      <c r="I128" s="206"/>
      <c r="J128" s="205"/>
      <c r="K128" s="206"/>
      <c r="L128" s="205"/>
      <c r="M128" s="206"/>
      <c r="N128" s="205"/>
      <c r="O128" s="206"/>
    </row>
    <row r="129" spans="4:15" s="112" customFormat="1" ht="12.75">
      <c r="D129" s="205"/>
      <c r="E129" s="206"/>
      <c r="F129" s="205"/>
      <c r="G129" s="206"/>
      <c r="H129" s="205"/>
      <c r="I129" s="206"/>
      <c r="J129" s="205"/>
      <c r="K129" s="206"/>
      <c r="L129" s="205"/>
      <c r="M129" s="206"/>
      <c r="N129" s="205"/>
      <c r="O129" s="206"/>
    </row>
    <row r="130" spans="4:15" s="112" customFormat="1" ht="12.75">
      <c r="D130" s="205"/>
      <c r="E130" s="206"/>
      <c r="F130" s="205"/>
      <c r="G130" s="206"/>
      <c r="H130" s="205"/>
      <c r="I130" s="206"/>
      <c r="J130" s="205"/>
      <c r="K130" s="206"/>
      <c r="L130" s="205"/>
      <c r="M130" s="206"/>
      <c r="N130" s="205"/>
      <c r="O130" s="206"/>
    </row>
    <row r="131" spans="4:15" s="112" customFormat="1" ht="12.75">
      <c r="D131" s="205"/>
      <c r="E131" s="206"/>
      <c r="F131" s="205"/>
      <c r="G131" s="206"/>
      <c r="H131" s="205"/>
      <c r="I131" s="206"/>
      <c r="J131" s="205"/>
      <c r="K131" s="206"/>
      <c r="L131" s="205"/>
      <c r="M131" s="206"/>
      <c r="N131" s="205"/>
      <c r="O131" s="206"/>
    </row>
    <row r="132" spans="4:15" s="112" customFormat="1" ht="12.75">
      <c r="D132" s="205"/>
      <c r="E132" s="206"/>
      <c r="F132" s="205"/>
      <c r="G132" s="206"/>
      <c r="H132" s="205"/>
      <c r="I132" s="206"/>
      <c r="J132" s="205"/>
      <c r="K132" s="206"/>
      <c r="L132" s="205"/>
      <c r="M132" s="206"/>
      <c r="N132" s="205"/>
      <c r="O132" s="206"/>
    </row>
    <row r="133" spans="4:15" s="112" customFormat="1" ht="12.75">
      <c r="D133" s="205"/>
      <c r="E133" s="206"/>
      <c r="F133" s="205"/>
      <c r="G133" s="206"/>
      <c r="H133" s="205"/>
      <c r="I133" s="206"/>
      <c r="J133" s="205"/>
      <c r="K133" s="206"/>
      <c r="L133" s="205"/>
      <c r="M133" s="206"/>
      <c r="N133" s="205"/>
      <c r="O133" s="206"/>
    </row>
    <row r="134" spans="4:15" s="112" customFormat="1" ht="12.75">
      <c r="D134" s="205"/>
      <c r="E134" s="206"/>
      <c r="F134" s="205"/>
      <c r="G134" s="206"/>
      <c r="H134" s="205"/>
      <c r="I134" s="206"/>
      <c r="J134" s="205"/>
      <c r="K134" s="206"/>
      <c r="L134" s="205"/>
      <c r="M134" s="206"/>
      <c r="N134" s="205"/>
      <c r="O134" s="206"/>
    </row>
    <row r="135" spans="4:15" s="112" customFormat="1" ht="12.75">
      <c r="D135" s="205"/>
      <c r="E135" s="206"/>
      <c r="F135" s="205"/>
      <c r="G135" s="206"/>
      <c r="H135" s="205"/>
      <c r="I135" s="206"/>
      <c r="J135" s="205"/>
      <c r="K135" s="206"/>
      <c r="L135" s="205"/>
      <c r="M135" s="206"/>
      <c r="N135" s="205"/>
      <c r="O135" s="206"/>
    </row>
    <row r="136" spans="4:15" s="112" customFormat="1" ht="12.75">
      <c r="D136" s="205"/>
      <c r="E136" s="206"/>
      <c r="F136" s="205"/>
      <c r="G136" s="206"/>
      <c r="H136" s="205"/>
      <c r="I136" s="206"/>
      <c r="J136" s="205"/>
      <c r="K136" s="206"/>
      <c r="L136" s="205"/>
      <c r="M136" s="206"/>
      <c r="N136" s="205"/>
      <c r="O136" s="206"/>
    </row>
    <row r="137" spans="4:15" s="112" customFormat="1" ht="12.75">
      <c r="D137" s="205"/>
      <c r="E137" s="206"/>
      <c r="F137" s="205"/>
      <c r="G137" s="206"/>
      <c r="H137" s="205"/>
      <c r="I137" s="206"/>
      <c r="J137" s="205"/>
      <c r="K137" s="206"/>
      <c r="L137" s="205"/>
      <c r="M137" s="206"/>
      <c r="N137" s="205"/>
      <c r="O137" s="206"/>
    </row>
    <row r="138" spans="4:15" s="112" customFormat="1" ht="12.75">
      <c r="D138" s="205"/>
      <c r="E138" s="206"/>
      <c r="F138" s="205"/>
      <c r="G138" s="206"/>
      <c r="H138" s="205"/>
      <c r="I138" s="206"/>
      <c r="J138" s="205"/>
      <c r="K138" s="206"/>
      <c r="L138" s="205"/>
      <c r="M138" s="206"/>
      <c r="N138" s="205"/>
      <c r="O138" s="206"/>
    </row>
    <row r="139" spans="4:15" s="112" customFormat="1" ht="12.75">
      <c r="D139" s="205"/>
      <c r="E139" s="206"/>
      <c r="F139" s="205"/>
      <c r="G139" s="206"/>
      <c r="H139" s="205"/>
      <c r="I139" s="206"/>
      <c r="J139" s="205"/>
      <c r="K139" s="206"/>
      <c r="L139" s="205"/>
      <c r="M139" s="206"/>
      <c r="N139" s="205"/>
      <c r="O139" s="206"/>
    </row>
    <row r="140" spans="4:15" s="112" customFormat="1" ht="12.75">
      <c r="D140" s="205"/>
      <c r="E140" s="206"/>
      <c r="F140" s="205"/>
      <c r="G140" s="206"/>
      <c r="H140" s="205"/>
      <c r="I140" s="206"/>
      <c r="J140" s="205"/>
      <c r="K140" s="206"/>
      <c r="L140" s="205"/>
      <c r="M140" s="206"/>
      <c r="N140" s="205"/>
      <c r="O140" s="206"/>
    </row>
    <row r="141" spans="4:15" s="112" customFormat="1" ht="12.75">
      <c r="D141" s="205"/>
      <c r="E141" s="206"/>
      <c r="F141" s="205"/>
      <c r="G141" s="206"/>
      <c r="H141" s="205"/>
      <c r="I141" s="206"/>
      <c r="J141" s="205"/>
      <c r="K141" s="206"/>
      <c r="L141" s="205"/>
      <c r="M141" s="206"/>
      <c r="N141" s="205"/>
      <c r="O141" s="206"/>
    </row>
    <row r="142" spans="4:15" s="112" customFormat="1" ht="12.75">
      <c r="D142" s="205"/>
      <c r="E142" s="206"/>
      <c r="F142" s="205"/>
      <c r="G142" s="206"/>
      <c r="H142" s="205"/>
      <c r="I142" s="206"/>
      <c r="J142" s="205"/>
      <c r="K142" s="206"/>
      <c r="L142" s="205"/>
      <c r="M142" s="206"/>
      <c r="N142" s="205"/>
      <c r="O142" s="206"/>
    </row>
    <row r="143" spans="4:15" s="112" customFormat="1" ht="12.75">
      <c r="D143" s="205"/>
      <c r="E143" s="206"/>
      <c r="F143" s="205"/>
      <c r="G143" s="206"/>
      <c r="H143" s="205"/>
      <c r="I143" s="206"/>
      <c r="J143" s="205"/>
      <c r="K143" s="206"/>
      <c r="L143" s="205"/>
      <c r="M143" s="206"/>
      <c r="N143" s="205"/>
      <c r="O143" s="206"/>
    </row>
    <row r="144" spans="4:15" s="112" customFormat="1" ht="12.75">
      <c r="D144" s="205"/>
      <c r="E144" s="206"/>
      <c r="F144" s="205"/>
      <c r="G144" s="206"/>
      <c r="H144" s="205"/>
      <c r="I144" s="206"/>
      <c r="J144" s="205"/>
      <c r="K144" s="206"/>
      <c r="L144" s="205"/>
      <c r="M144" s="206"/>
      <c r="N144" s="205"/>
      <c r="O144" s="206"/>
    </row>
    <row r="145" spans="4:15" s="112" customFormat="1" ht="12.75">
      <c r="D145" s="205"/>
      <c r="E145" s="206"/>
      <c r="F145" s="205"/>
      <c r="G145" s="206"/>
      <c r="H145" s="205"/>
      <c r="I145" s="206"/>
      <c r="J145" s="205"/>
      <c r="K145" s="206"/>
      <c r="L145" s="205"/>
      <c r="M145" s="206"/>
      <c r="N145" s="205"/>
      <c r="O145" s="206"/>
    </row>
    <row r="146" spans="4:15" s="112" customFormat="1" ht="12.75">
      <c r="D146" s="205"/>
      <c r="E146" s="206"/>
      <c r="F146" s="205"/>
      <c r="G146" s="206"/>
      <c r="H146" s="205"/>
      <c r="I146" s="206"/>
      <c r="J146" s="205"/>
      <c r="K146" s="206"/>
      <c r="L146" s="205"/>
      <c r="M146" s="206"/>
      <c r="N146" s="205"/>
      <c r="O146" s="206"/>
    </row>
    <row r="147" spans="4:15" s="112" customFormat="1" ht="12.75">
      <c r="D147" s="205"/>
      <c r="E147" s="206"/>
      <c r="F147" s="205"/>
      <c r="G147" s="206"/>
      <c r="H147" s="205"/>
      <c r="I147" s="206"/>
      <c r="J147" s="205"/>
      <c r="K147" s="206"/>
      <c r="L147" s="205"/>
      <c r="M147" s="206"/>
      <c r="N147" s="205"/>
      <c r="O147" s="206"/>
    </row>
    <row r="148" spans="4:15" s="112" customFormat="1" ht="12.75">
      <c r="D148" s="205"/>
      <c r="E148" s="206"/>
      <c r="F148" s="205"/>
      <c r="G148" s="206"/>
      <c r="H148" s="205"/>
      <c r="I148" s="206"/>
      <c r="J148" s="205"/>
      <c r="K148" s="206"/>
      <c r="L148" s="205"/>
      <c r="M148" s="206"/>
      <c r="N148" s="205"/>
      <c r="O148" s="206"/>
    </row>
    <row r="149" spans="4:15" s="112" customFormat="1" ht="12.75">
      <c r="D149" s="205"/>
      <c r="E149" s="206"/>
      <c r="F149" s="205"/>
      <c r="G149" s="206"/>
      <c r="H149" s="205"/>
      <c r="I149" s="206"/>
      <c r="J149" s="205"/>
      <c r="K149" s="206"/>
      <c r="L149" s="205"/>
      <c r="M149" s="206"/>
      <c r="N149" s="205"/>
      <c r="O149" s="206"/>
    </row>
    <row r="150" spans="4:15" s="112" customFormat="1" ht="12.75">
      <c r="D150" s="205"/>
      <c r="E150" s="206"/>
      <c r="F150" s="205"/>
      <c r="G150" s="206"/>
      <c r="H150" s="205"/>
      <c r="I150" s="206"/>
      <c r="J150" s="205"/>
      <c r="K150" s="206"/>
      <c r="L150" s="205"/>
      <c r="M150" s="206"/>
      <c r="N150" s="205"/>
      <c r="O150" s="206"/>
    </row>
    <row r="151" spans="4:15" s="112" customFormat="1" ht="12.75">
      <c r="D151" s="205"/>
      <c r="E151" s="206"/>
      <c r="F151" s="205"/>
      <c r="G151" s="206"/>
      <c r="H151" s="205"/>
      <c r="I151" s="206"/>
      <c r="J151" s="205"/>
      <c r="K151" s="206"/>
      <c r="L151" s="205"/>
      <c r="M151" s="206"/>
      <c r="N151" s="205"/>
      <c r="O151" s="206"/>
    </row>
    <row r="152" spans="4:15" s="112" customFormat="1" ht="12.75">
      <c r="D152" s="205"/>
      <c r="E152" s="206"/>
      <c r="F152" s="205"/>
      <c r="G152" s="206"/>
      <c r="H152" s="205"/>
      <c r="I152" s="206"/>
      <c r="J152" s="205"/>
      <c r="K152" s="206"/>
      <c r="L152" s="205"/>
      <c r="M152" s="206"/>
      <c r="N152" s="205"/>
      <c r="O152" s="206"/>
    </row>
    <row r="153" spans="4:15" s="112" customFormat="1" ht="12.75">
      <c r="D153" s="205"/>
      <c r="E153" s="206"/>
      <c r="F153" s="205"/>
      <c r="G153" s="206"/>
      <c r="H153" s="205"/>
      <c r="I153" s="206"/>
      <c r="J153" s="205"/>
      <c r="K153" s="206"/>
      <c r="L153" s="205"/>
      <c r="M153" s="206"/>
      <c r="N153" s="205"/>
      <c r="O153" s="206"/>
    </row>
    <row r="154" spans="4:15" s="112" customFormat="1" ht="12.75">
      <c r="D154" s="205"/>
      <c r="E154" s="206"/>
      <c r="F154" s="205"/>
      <c r="G154" s="206"/>
      <c r="H154" s="205"/>
      <c r="I154" s="206"/>
      <c r="J154" s="205"/>
      <c r="K154" s="206"/>
      <c r="L154" s="205"/>
      <c r="M154" s="206"/>
      <c r="N154" s="205"/>
      <c r="O154" s="206"/>
    </row>
    <row r="155" spans="4:15" s="112" customFormat="1" ht="12.75">
      <c r="D155" s="205"/>
      <c r="E155" s="206"/>
      <c r="F155" s="205"/>
      <c r="G155" s="206"/>
      <c r="H155" s="205"/>
      <c r="I155" s="206"/>
      <c r="J155" s="205"/>
      <c r="K155" s="206"/>
      <c r="L155" s="205"/>
      <c r="M155" s="206"/>
      <c r="N155" s="205"/>
      <c r="O155" s="206"/>
    </row>
    <row r="156" spans="4:15" s="112" customFormat="1" ht="12.75">
      <c r="D156" s="205"/>
      <c r="E156" s="206"/>
      <c r="F156" s="205"/>
      <c r="G156" s="206"/>
      <c r="H156" s="205"/>
      <c r="I156" s="206"/>
      <c r="J156" s="205"/>
      <c r="K156" s="206"/>
      <c r="L156" s="205"/>
      <c r="M156" s="206"/>
      <c r="N156" s="205"/>
      <c r="O156" s="206"/>
    </row>
    <row r="157" spans="4:15" s="112" customFormat="1" ht="12.75">
      <c r="D157" s="205"/>
      <c r="E157" s="206"/>
      <c r="F157" s="205"/>
      <c r="G157" s="206"/>
      <c r="H157" s="205"/>
      <c r="I157" s="206"/>
      <c r="J157" s="205"/>
      <c r="K157" s="206"/>
      <c r="L157" s="205"/>
      <c r="M157" s="206"/>
      <c r="N157" s="205"/>
      <c r="O157" s="206"/>
    </row>
    <row r="158" spans="4:15" s="112" customFormat="1" ht="12.75">
      <c r="D158" s="205"/>
      <c r="E158" s="206"/>
      <c r="F158" s="205"/>
      <c r="G158" s="206"/>
      <c r="H158" s="205"/>
      <c r="I158" s="206"/>
      <c r="J158" s="205"/>
      <c r="K158" s="206"/>
      <c r="L158" s="205"/>
      <c r="M158" s="206"/>
      <c r="N158" s="205"/>
      <c r="O158" s="206"/>
    </row>
    <row r="159" spans="4:15" s="112" customFormat="1" ht="12.75">
      <c r="D159" s="205"/>
      <c r="E159" s="206"/>
      <c r="F159" s="205"/>
      <c r="G159" s="206"/>
      <c r="H159" s="205"/>
      <c r="I159" s="206"/>
      <c r="J159" s="205"/>
      <c r="K159" s="206"/>
      <c r="L159" s="205"/>
      <c r="M159" s="206"/>
      <c r="N159" s="205"/>
      <c r="O159" s="206"/>
    </row>
    <row r="160" spans="4:15" s="112" customFormat="1" ht="12.75">
      <c r="D160" s="205"/>
      <c r="E160" s="206"/>
      <c r="F160" s="205"/>
      <c r="G160" s="206"/>
      <c r="H160" s="205"/>
      <c r="I160" s="206"/>
      <c r="J160" s="205"/>
      <c r="K160" s="206"/>
      <c r="L160" s="205"/>
      <c r="M160" s="206"/>
      <c r="N160" s="205"/>
      <c r="O160" s="206"/>
    </row>
    <row r="161" spans="4:15" s="112" customFormat="1" ht="12.75">
      <c r="D161" s="205"/>
      <c r="E161" s="206"/>
      <c r="F161" s="205"/>
      <c r="G161" s="206"/>
      <c r="H161" s="205"/>
      <c r="I161" s="206"/>
      <c r="J161" s="205"/>
      <c r="K161" s="206"/>
      <c r="L161" s="205"/>
      <c r="M161" s="206"/>
      <c r="N161" s="205"/>
      <c r="O161" s="206"/>
    </row>
    <row r="162" spans="4:15" s="112" customFormat="1" ht="12.75">
      <c r="D162" s="205"/>
      <c r="E162" s="206"/>
      <c r="F162" s="205"/>
      <c r="G162" s="206"/>
      <c r="H162" s="205"/>
      <c r="I162" s="206"/>
      <c r="J162" s="205"/>
      <c r="K162" s="206"/>
      <c r="L162" s="205"/>
      <c r="M162" s="206"/>
      <c r="N162" s="205"/>
      <c r="O162" s="206"/>
    </row>
    <row r="163" spans="4:15" s="112" customFormat="1" ht="12.75">
      <c r="D163" s="205"/>
      <c r="E163" s="206"/>
      <c r="F163" s="205"/>
      <c r="G163" s="206"/>
      <c r="H163" s="205"/>
      <c r="I163" s="206"/>
      <c r="J163" s="205"/>
      <c r="K163" s="206"/>
      <c r="L163" s="205"/>
      <c r="M163" s="206"/>
      <c r="N163" s="205"/>
      <c r="O163" s="206"/>
    </row>
    <row r="164" spans="4:15" s="112" customFormat="1" ht="12.75">
      <c r="D164" s="205"/>
      <c r="E164" s="206"/>
      <c r="F164" s="205"/>
      <c r="G164" s="206"/>
      <c r="H164" s="205"/>
      <c r="I164" s="206"/>
      <c r="J164" s="205"/>
      <c r="K164" s="206"/>
      <c r="L164" s="205"/>
      <c r="M164" s="206"/>
      <c r="N164" s="205"/>
      <c r="O164" s="206"/>
    </row>
    <row r="165" spans="4:15" s="112" customFormat="1" ht="12.75">
      <c r="D165" s="205"/>
      <c r="E165" s="206"/>
      <c r="F165" s="205"/>
      <c r="G165" s="206"/>
      <c r="H165" s="205"/>
      <c r="I165" s="206"/>
      <c r="J165" s="205"/>
      <c r="K165" s="206"/>
      <c r="L165" s="205"/>
      <c r="M165" s="206"/>
      <c r="N165" s="205"/>
      <c r="O165" s="206"/>
    </row>
    <row r="166" spans="4:15" s="112" customFormat="1" ht="12.75">
      <c r="D166" s="205"/>
      <c r="E166" s="206"/>
      <c r="F166" s="205"/>
      <c r="G166" s="206"/>
      <c r="H166" s="205"/>
      <c r="I166" s="206"/>
      <c r="J166" s="205"/>
      <c r="K166" s="206"/>
      <c r="L166" s="205"/>
      <c r="M166" s="206"/>
      <c r="N166" s="205"/>
      <c r="O166" s="206"/>
    </row>
    <row r="167" spans="4:15" s="112" customFormat="1" ht="12.75">
      <c r="D167" s="205"/>
      <c r="E167" s="206"/>
      <c r="F167" s="205"/>
      <c r="G167" s="206"/>
      <c r="H167" s="205"/>
      <c r="I167" s="206"/>
      <c r="J167" s="205"/>
      <c r="K167" s="206"/>
      <c r="L167" s="205"/>
      <c r="M167" s="206"/>
      <c r="N167" s="205"/>
      <c r="O167" s="206"/>
    </row>
    <row r="168" spans="4:15" s="112" customFormat="1" ht="12.75">
      <c r="D168" s="205"/>
      <c r="E168" s="206"/>
      <c r="F168" s="205"/>
      <c r="G168" s="206"/>
      <c r="H168" s="205"/>
      <c r="I168" s="206"/>
      <c r="J168" s="205"/>
      <c r="K168" s="206"/>
      <c r="L168" s="205"/>
      <c r="M168" s="206"/>
      <c r="N168" s="205"/>
      <c r="O168" s="206"/>
    </row>
    <row r="169" spans="4:15" s="112" customFormat="1" ht="12.75">
      <c r="D169" s="205"/>
      <c r="E169" s="206"/>
      <c r="F169" s="205"/>
      <c r="G169" s="206"/>
      <c r="H169" s="205"/>
      <c r="I169" s="206"/>
      <c r="J169" s="205"/>
      <c r="K169" s="206"/>
      <c r="L169" s="205"/>
      <c r="M169" s="206"/>
      <c r="N169" s="205"/>
      <c r="O169" s="206"/>
    </row>
    <row r="170" spans="4:15" s="112" customFormat="1" ht="12.75">
      <c r="D170" s="205"/>
      <c r="E170" s="206"/>
      <c r="F170" s="205"/>
      <c r="G170" s="206"/>
      <c r="H170" s="205"/>
      <c r="I170" s="206"/>
      <c r="J170" s="205"/>
      <c r="K170" s="206"/>
      <c r="L170" s="205"/>
      <c r="M170" s="206"/>
      <c r="N170" s="205"/>
      <c r="O170" s="206"/>
    </row>
    <row r="171" spans="4:15" s="112" customFormat="1" ht="12.75">
      <c r="D171" s="205"/>
      <c r="E171" s="206"/>
      <c r="F171" s="205"/>
      <c r="G171" s="206"/>
      <c r="H171" s="205"/>
      <c r="I171" s="206"/>
      <c r="J171" s="205"/>
      <c r="K171" s="206"/>
      <c r="L171" s="205"/>
      <c r="M171" s="206"/>
      <c r="N171" s="205"/>
      <c r="O171" s="206"/>
    </row>
    <row r="172" spans="4:15" s="112" customFormat="1" ht="12.75">
      <c r="D172" s="205"/>
      <c r="E172" s="206"/>
      <c r="F172" s="205"/>
      <c r="G172" s="206"/>
      <c r="H172" s="205"/>
      <c r="I172" s="206"/>
      <c r="J172" s="205"/>
      <c r="K172" s="206"/>
      <c r="L172" s="205"/>
      <c r="M172" s="206"/>
      <c r="N172" s="205"/>
      <c r="O172" s="206"/>
    </row>
    <row r="173" spans="4:15" s="112" customFormat="1" ht="12.75">
      <c r="D173" s="205"/>
      <c r="E173" s="206"/>
      <c r="F173" s="205"/>
      <c r="G173" s="206"/>
      <c r="H173" s="205"/>
      <c r="I173" s="206"/>
      <c r="J173" s="205"/>
      <c r="K173" s="206"/>
      <c r="L173" s="205"/>
      <c r="M173" s="206"/>
      <c r="N173" s="205"/>
      <c r="O173" s="206"/>
    </row>
    <row r="174" spans="4:15" s="112" customFormat="1" ht="12.75">
      <c r="D174" s="205"/>
      <c r="E174" s="206"/>
      <c r="F174" s="205"/>
      <c r="G174" s="206"/>
      <c r="H174" s="205"/>
      <c r="I174" s="206"/>
      <c r="J174" s="205"/>
      <c r="K174" s="206"/>
      <c r="L174" s="205"/>
      <c r="M174" s="206"/>
      <c r="N174" s="205"/>
      <c r="O174" s="206"/>
    </row>
    <row r="175" spans="4:15" s="112" customFormat="1" ht="12.75">
      <c r="D175" s="205"/>
      <c r="E175" s="206"/>
      <c r="F175" s="205"/>
      <c r="G175" s="206"/>
      <c r="H175" s="205"/>
      <c r="I175" s="206"/>
      <c r="J175" s="205"/>
      <c r="K175" s="206"/>
      <c r="L175" s="205"/>
      <c r="M175" s="206"/>
      <c r="N175" s="205"/>
      <c r="O175" s="206"/>
    </row>
    <row r="176" spans="4:15" s="112" customFormat="1" ht="12.75">
      <c r="D176" s="205"/>
      <c r="E176" s="206"/>
      <c r="F176" s="205"/>
      <c r="G176" s="206"/>
      <c r="H176" s="205"/>
      <c r="I176" s="206"/>
      <c r="J176" s="205"/>
      <c r="K176" s="206"/>
      <c r="L176" s="205"/>
      <c r="M176" s="206"/>
      <c r="N176" s="205"/>
      <c r="O176" s="206"/>
    </row>
    <row r="177" spans="4:15" s="112" customFormat="1" ht="12.75">
      <c r="D177" s="205"/>
      <c r="E177" s="206"/>
      <c r="F177" s="205"/>
      <c r="G177" s="206"/>
      <c r="H177" s="205"/>
      <c r="I177" s="206"/>
      <c r="J177" s="205"/>
      <c r="K177" s="206"/>
      <c r="L177" s="205"/>
      <c r="M177" s="206"/>
      <c r="N177" s="205"/>
      <c r="O177" s="206"/>
    </row>
    <row r="178" spans="4:15" s="112" customFormat="1" ht="12.75">
      <c r="D178" s="205"/>
      <c r="E178" s="206"/>
      <c r="F178" s="205"/>
      <c r="G178" s="206"/>
      <c r="H178" s="205"/>
      <c r="I178" s="206"/>
      <c r="J178" s="205"/>
      <c r="K178" s="206"/>
      <c r="L178" s="205"/>
      <c r="M178" s="206"/>
      <c r="N178" s="205"/>
      <c r="O178" s="206"/>
    </row>
    <row r="179" spans="4:15" s="112" customFormat="1" ht="12.75">
      <c r="D179" s="205"/>
      <c r="E179" s="206"/>
      <c r="F179" s="205"/>
      <c r="G179" s="206"/>
      <c r="H179" s="205"/>
      <c r="I179" s="206"/>
      <c r="J179" s="205"/>
      <c r="K179" s="206"/>
      <c r="L179" s="205"/>
      <c r="M179" s="206"/>
      <c r="N179" s="205"/>
      <c r="O179" s="206"/>
    </row>
    <row r="180" spans="4:15" s="112" customFormat="1" ht="12.75">
      <c r="D180" s="205"/>
      <c r="E180" s="206"/>
      <c r="F180" s="205"/>
      <c r="G180" s="206"/>
      <c r="H180" s="205"/>
      <c r="I180" s="206"/>
      <c r="J180" s="205"/>
      <c r="K180" s="206"/>
      <c r="L180" s="205"/>
      <c r="M180" s="206"/>
      <c r="N180" s="205"/>
      <c r="O180" s="206"/>
    </row>
    <row r="181" spans="4:15" s="112" customFormat="1" ht="12.75">
      <c r="D181" s="205"/>
      <c r="E181" s="206"/>
      <c r="F181" s="205"/>
      <c r="G181" s="206"/>
      <c r="H181" s="205"/>
      <c r="I181" s="206"/>
      <c r="J181" s="205"/>
      <c r="K181" s="206"/>
      <c r="L181" s="205"/>
      <c r="M181" s="206"/>
      <c r="N181" s="205"/>
      <c r="O181" s="206"/>
    </row>
    <row r="182" spans="4:15" s="112" customFormat="1" ht="12.75">
      <c r="D182" s="205"/>
      <c r="E182" s="206"/>
      <c r="F182" s="205"/>
      <c r="G182" s="206"/>
      <c r="H182" s="205"/>
      <c r="I182" s="206"/>
      <c r="J182" s="205"/>
      <c r="K182" s="206"/>
      <c r="L182" s="205"/>
      <c r="M182" s="206"/>
      <c r="N182" s="205"/>
      <c r="O182" s="206"/>
    </row>
    <row r="183" spans="4:15" s="112" customFormat="1" ht="12.75">
      <c r="D183" s="205"/>
      <c r="E183" s="206"/>
      <c r="F183" s="205"/>
      <c r="G183" s="206"/>
      <c r="H183" s="205"/>
      <c r="I183" s="206"/>
      <c r="J183" s="205"/>
      <c r="K183" s="206"/>
      <c r="L183" s="205"/>
      <c r="M183" s="206"/>
      <c r="N183" s="205"/>
      <c r="O183" s="206"/>
    </row>
    <row r="184" spans="4:15" s="112" customFormat="1" ht="12.75">
      <c r="D184" s="205"/>
      <c r="E184" s="206"/>
      <c r="F184" s="205"/>
      <c r="G184" s="206"/>
      <c r="H184" s="205"/>
      <c r="I184" s="206"/>
      <c r="J184" s="205"/>
      <c r="K184" s="206"/>
      <c r="L184" s="205"/>
      <c r="M184" s="206"/>
      <c r="N184" s="205"/>
      <c r="O184" s="206"/>
    </row>
    <row r="185" spans="4:15" s="112" customFormat="1" ht="12.75">
      <c r="D185" s="205"/>
      <c r="E185" s="206"/>
      <c r="F185" s="205"/>
      <c r="G185" s="206"/>
      <c r="H185" s="205"/>
      <c r="I185" s="206"/>
      <c r="J185" s="205"/>
      <c r="K185" s="206"/>
      <c r="L185" s="205"/>
      <c r="M185" s="206"/>
      <c r="N185" s="205"/>
      <c r="O185" s="206"/>
    </row>
    <row r="186" spans="4:15" s="112" customFormat="1" ht="12.75">
      <c r="D186" s="205"/>
      <c r="E186" s="206"/>
      <c r="F186" s="205"/>
      <c r="G186" s="206"/>
      <c r="H186" s="205"/>
      <c r="I186" s="206"/>
      <c r="J186" s="205"/>
      <c r="K186" s="206"/>
      <c r="L186" s="205"/>
      <c r="M186" s="206"/>
      <c r="N186" s="205"/>
      <c r="O186" s="206"/>
    </row>
    <row r="187" spans="4:15" s="112" customFormat="1" ht="12.75">
      <c r="D187" s="205"/>
      <c r="E187" s="206"/>
      <c r="F187" s="205"/>
      <c r="G187" s="206"/>
      <c r="H187" s="205"/>
      <c r="I187" s="206"/>
      <c r="J187" s="205"/>
      <c r="K187" s="206"/>
      <c r="L187" s="205"/>
      <c r="M187" s="206"/>
      <c r="N187" s="205"/>
      <c r="O187" s="206"/>
    </row>
    <row r="188" spans="4:15" s="112" customFormat="1" ht="12.75">
      <c r="D188" s="205"/>
      <c r="E188" s="206"/>
      <c r="F188" s="205"/>
      <c r="G188" s="206"/>
      <c r="H188" s="205"/>
      <c r="I188" s="206"/>
      <c r="J188" s="205"/>
      <c r="K188" s="206"/>
      <c r="L188" s="205"/>
      <c r="M188" s="206"/>
      <c r="N188" s="205"/>
      <c r="O188" s="206"/>
    </row>
    <row r="189" spans="4:15" s="112" customFormat="1" ht="12.75">
      <c r="D189" s="205"/>
      <c r="E189" s="206"/>
      <c r="F189" s="205"/>
      <c r="G189" s="206"/>
      <c r="H189" s="205"/>
      <c r="I189" s="206"/>
      <c r="J189" s="205"/>
      <c r="K189" s="206"/>
      <c r="L189" s="205"/>
      <c r="M189" s="206"/>
      <c r="N189" s="205"/>
      <c r="O189" s="206"/>
    </row>
    <row r="190" spans="4:15" s="112" customFormat="1" ht="12.75">
      <c r="D190" s="205"/>
      <c r="E190" s="206"/>
      <c r="F190" s="205"/>
      <c r="G190" s="206"/>
      <c r="H190" s="205"/>
      <c r="I190" s="206"/>
      <c r="J190" s="205"/>
      <c r="K190" s="206"/>
      <c r="L190" s="205"/>
      <c r="M190" s="206"/>
      <c r="N190" s="205"/>
      <c r="O190" s="206"/>
    </row>
    <row r="191" spans="4:15" s="112" customFormat="1" ht="12.75">
      <c r="D191" s="205"/>
      <c r="E191" s="206"/>
      <c r="F191" s="205"/>
      <c r="G191" s="206"/>
      <c r="H191" s="205"/>
      <c r="I191" s="206"/>
      <c r="J191" s="205"/>
      <c r="K191" s="206"/>
      <c r="L191" s="205"/>
      <c r="M191" s="206"/>
      <c r="N191" s="205"/>
      <c r="O191" s="206"/>
    </row>
    <row r="192" spans="4:15" s="112" customFormat="1" ht="12.75">
      <c r="D192" s="205"/>
      <c r="E192" s="206"/>
      <c r="F192" s="205"/>
      <c r="G192" s="206"/>
      <c r="H192" s="205"/>
      <c r="I192" s="206"/>
      <c r="J192" s="205"/>
      <c r="K192" s="206"/>
      <c r="L192" s="205"/>
      <c r="M192" s="206"/>
      <c r="N192" s="205"/>
      <c r="O192" s="206"/>
    </row>
    <row r="193" spans="4:15" s="112" customFormat="1" ht="12.75">
      <c r="D193" s="205"/>
      <c r="E193" s="206"/>
      <c r="F193" s="205"/>
      <c r="G193" s="206"/>
      <c r="H193" s="205"/>
      <c r="I193" s="206"/>
      <c r="J193" s="205"/>
      <c r="K193" s="206"/>
      <c r="L193" s="205"/>
      <c r="M193" s="206"/>
      <c r="N193" s="205"/>
      <c r="O193" s="206"/>
    </row>
    <row r="194" spans="4:15" s="112" customFormat="1" ht="12.75">
      <c r="D194" s="205"/>
      <c r="E194" s="206"/>
      <c r="F194" s="205"/>
      <c r="G194" s="206"/>
      <c r="H194" s="205"/>
      <c r="I194" s="206"/>
      <c r="J194" s="205"/>
      <c r="K194" s="206"/>
      <c r="L194" s="205"/>
      <c r="M194" s="206"/>
      <c r="N194" s="205"/>
      <c r="O194" s="206"/>
    </row>
    <row r="195" spans="4:15" s="112" customFormat="1" ht="12.75">
      <c r="D195" s="205"/>
      <c r="E195" s="206"/>
      <c r="F195" s="205"/>
      <c r="G195" s="206"/>
      <c r="H195" s="205"/>
      <c r="I195" s="206"/>
      <c r="J195" s="205"/>
      <c r="K195" s="206"/>
      <c r="L195" s="205"/>
      <c r="M195" s="206"/>
      <c r="N195" s="205"/>
      <c r="O195" s="206"/>
    </row>
    <row r="196" spans="4:15" s="112" customFormat="1" ht="12.75">
      <c r="D196" s="205"/>
      <c r="E196" s="206"/>
      <c r="F196" s="205"/>
      <c r="G196" s="206"/>
      <c r="H196" s="205"/>
      <c r="I196" s="206"/>
      <c r="J196" s="205"/>
      <c r="K196" s="206"/>
      <c r="L196" s="205"/>
      <c r="M196" s="206"/>
      <c r="N196" s="205"/>
      <c r="O196" s="206"/>
    </row>
    <row r="197" spans="4:15" s="112" customFormat="1" ht="12.75">
      <c r="D197" s="205"/>
      <c r="E197" s="206"/>
      <c r="F197" s="205"/>
      <c r="G197" s="206"/>
      <c r="H197" s="205"/>
      <c r="I197" s="206"/>
      <c r="J197" s="205"/>
      <c r="K197" s="206"/>
      <c r="L197" s="205"/>
      <c r="M197" s="206"/>
      <c r="N197" s="205"/>
      <c r="O197" s="206"/>
    </row>
    <row r="198" spans="4:15" s="112" customFormat="1" ht="12.75">
      <c r="D198" s="205"/>
      <c r="E198" s="206"/>
      <c r="F198" s="205"/>
      <c r="G198" s="206"/>
      <c r="H198" s="205"/>
      <c r="I198" s="206"/>
      <c r="J198" s="205"/>
      <c r="K198" s="206"/>
      <c r="L198" s="205"/>
      <c r="M198" s="206"/>
      <c r="N198" s="205"/>
      <c r="O198" s="206"/>
    </row>
    <row r="199" spans="4:15" s="112" customFormat="1" ht="12.75">
      <c r="D199" s="205"/>
      <c r="E199" s="206"/>
      <c r="F199" s="205"/>
      <c r="G199" s="206"/>
      <c r="H199" s="205"/>
      <c r="I199" s="206"/>
      <c r="J199" s="205"/>
      <c r="K199" s="206"/>
      <c r="L199" s="205"/>
      <c r="M199" s="206"/>
      <c r="N199" s="205"/>
      <c r="O199" s="206"/>
    </row>
    <row r="200" spans="4:15" s="112" customFormat="1" ht="12.75">
      <c r="D200" s="205"/>
      <c r="E200" s="206"/>
      <c r="F200" s="205"/>
      <c r="G200" s="206"/>
      <c r="H200" s="205"/>
      <c r="I200" s="206"/>
      <c r="J200" s="205"/>
      <c r="K200" s="206"/>
      <c r="L200" s="205"/>
      <c r="M200" s="206"/>
      <c r="N200" s="205"/>
      <c r="O200" s="206"/>
    </row>
    <row r="201" spans="4:15" s="112" customFormat="1" ht="12.75">
      <c r="D201" s="205"/>
      <c r="E201" s="206"/>
      <c r="F201" s="205"/>
      <c r="G201" s="206"/>
      <c r="H201" s="205"/>
      <c r="I201" s="206"/>
      <c r="J201" s="205"/>
      <c r="K201" s="206"/>
      <c r="L201" s="205"/>
      <c r="M201" s="206"/>
      <c r="N201" s="205"/>
      <c r="O201" s="206"/>
    </row>
    <row r="202" spans="4:15" s="112" customFormat="1" ht="12.75">
      <c r="D202" s="205"/>
      <c r="E202" s="206"/>
      <c r="F202" s="205"/>
      <c r="G202" s="206"/>
      <c r="H202" s="205"/>
      <c r="I202" s="206"/>
      <c r="J202" s="205"/>
      <c r="K202" s="206"/>
      <c r="L202" s="205"/>
      <c r="M202" s="206"/>
      <c r="N202" s="205"/>
      <c r="O202" s="206"/>
    </row>
    <row r="203" spans="4:15" s="112" customFormat="1" ht="12.75">
      <c r="D203" s="205"/>
      <c r="E203" s="206"/>
      <c r="F203" s="205"/>
      <c r="G203" s="206"/>
      <c r="H203" s="205"/>
      <c r="I203" s="206"/>
      <c r="J203" s="205"/>
      <c r="K203" s="206"/>
      <c r="L203" s="205"/>
      <c r="M203" s="206"/>
      <c r="N203" s="205"/>
      <c r="O203" s="206"/>
    </row>
    <row r="204" spans="4:15" s="112" customFormat="1" ht="12.75">
      <c r="D204" s="205"/>
      <c r="E204" s="206"/>
      <c r="F204" s="205"/>
      <c r="G204" s="206"/>
      <c r="H204" s="205"/>
      <c r="I204" s="206"/>
      <c r="J204" s="205"/>
      <c r="K204" s="206"/>
      <c r="L204" s="205"/>
      <c r="M204" s="206"/>
      <c r="N204" s="205"/>
      <c r="O204" s="206"/>
    </row>
    <row r="205" spans="4:15" s="112" customFormat="1" ht="12.75">
      <c r="D205" s="205"/>
      <c r="E205" s="206"/>
      <c r="F205" s="205"/>
      <c r="G205" s="206"/>
      <c r="H205" s="205"/>
      <c r="I205" s="206"/>
      <c r="J205" s="205"/>
      <c r="K205" s="206"/>
      <c r="L205" s="205"/>
      <c r="M205" s="206"/>
      <c r="N205" s="205"/>
      <c r="O205" s="206"/>
    </row>
    <row r="206" spans="4:15" s="112" customFormat="1" ht="12.75">
      <c r="D206" s="205"/>
      <c r="E206" s="206"/>
      <c r="F206" s="205"/>
      <c r="G206" s="206"/>
      <c r="H206" s="205"/>
      <c r="I206" s="206"/>
      <c r="J206" s="205"/>
      <c r="K206" s="206"/>
      <c r="L206" s="205"/>
      <c r="M206" s="206"/>
      <c r="N206" s="205"/>
      <c r="O206" s="206"/>
    </row>
    <row r="207" spans="4:15" s="112" customFormat="1" ht="12.75">
      <c r="D207" s="205"/>
      <c r="E207" s="206"/>
      <c r="F207" s="205"/>
      <c r="G207" s="206"/>
      <c r="H207" s="205"/>
      <c r="I207" s="206"/>
      <c r="J207" s="205"/>
      <c r="K207" s="206"/>
      <c r="L207" s="205"/>
      <c r="M207" s="206"/>
      <c r="N207" s="205"/>
      <c r="O207" s="206"/>
    </row>
    <row r="208" spans="4:15" s="112" customFormat="1" ht="12.75">
      <c r="D208" s="205"/>
      <c r="E208" s="206"/>
      <c r="F208" s="205"/>
      <c r="G208" s="206"/>
      <c r="H208" s="205"/>
      <c r="I208" s="206"/>
      <c r="J208" s="205"/>
      <c r="K208" s="206"/>
      <c r="L208" s="205"/>
      <c r="M208" s="206"/>
      <c r="N208" s="205"/>
      <c r="O208" s="206"/>
    </row>
    <row r="209" spans="4:15" s="112" customFormat="1" ht="12.75">
      <c r="D209" s="205"/>
      <c r="E209" s="206"/>
      <c r="F209" s="205"/>
      <c r="G209" s="206"/>
      <c r="H209" s="205"/>
      <c r="I209" s="206"/>
      <c r="J209" s="205"/>
      <c r="K209" s="206"/>
      <c r="L209" s="205"/>
      <c r="M209" s="206"/>
      <c r="N209" s="205"/>
      <c r="O209" s="206"/>
    </row>
    <row r="210" spans="4:15" s="112" customFormat="1" ht="12.75">
      <c r="D210" s="205"/>
      <c r="E210" s="206"/>
      <c r="F210" s="205"/>
      <c r="G210" s="206"/>
      <c r="H210" s="205"/>
      <c r="I210" s="206"/>
      <c r="J210" s="205"/>
      <c r="K210" s="206"/>
      <c r="L210" s="205"/>
      <c r="M210" s="206"/>
      <c r="N210" s="205"/>
      <c r="O210" s="206"/>
    </row>
    <row r="211" spans="4:15" s="112" customFormat="1" ht="12.75">
      <c r="D211" s="205"/>
      <c r="E211" s="206"/>
      <c r="F211" s="205"/>
      <c r="G211" s="206"/>
      <c r="H211" s="205"/>
      <c r="I211" s="206"/>
      <c r="J211" s="205"/>
      <c r="K211" s="206"/>
      <c r="L211" s="205"/>
      <c r="M211" s="206"/>
      <c r="N211" s="205"/>
      <c r="O211" s="206"/>
    </row>
    <row r="212" spans="4:15" s="112" customFormat="1" ht="12.75">
      <c r="D212" s="205"/>
      <c r="E212" s="206"/>
      <c r="F212" s="205"/>
      <c r="G212" s="206"/>
      <c r="H212" s="205"/>
      <c r="I212" s="206"/>
      <c r="J212" s="205"/>
      <c r="K212" s="206"/>
      <c r="L212" s="205"/>
      <c r="M212" s="206"/>
      <c r="N212" s="205"/>
      <c r="O212" s="206"/>
    </row>
    <row r="213" spans="4:15" s="112" customFormat="1" ht="12.75">
      <c r="D213" s="205"/>
      <c r="E213" s="206"/>
      <c r="F213" s="205"/>
      <c r="G213" s="206"/>
      <c r="H213" s="205"/>
      <c r="I213" s="206"/>
      <c r="J213" s="205"/>
      <c r="K213" s="206"/>
      <c r="L213" s="205"/>
      <c r="M213" s="206"/>
      <c r="N213" s="205"/>
      <c r="O213" s="206"/>
    </row>
    <row r="214" spans="4:15" s="112" customFormat="1" ht="12.75">
      <c r="D214" s="205"/>
      <c r="E214" s="206"/>
      <c r="F214" s="205"/>
      <c r="G214" s="206"/>
      <c r="H214" s="205"/>
      <c r="I214" s="206"/>
      <c r="J214" s="205"/>
      <c r="K214" s="206"/>
      <c r="L214" s="205"/>
      <c r="M214" s="206"/>
      <c r="N214" s="205"/>
      <c r="O214" s="206"/>
    </row>
    <row r="215" spans="4:15" s="112" customFormat="1" ht="12.75">
      <c r="D215" s="205"/>
      <c r="E215" s="206"/>
      <c r="F215" s="205"/>
      <c r="G215" s="206"/>
      <c r="H215" s="205"/>
      <c r="I215" s="206"/>
      <c r="J215" s="205"/>
      <c r="K215" s="206"/>
      <c r="L215" s="205"/>
      <c r="M215" s="206"/>
      <c r="N215" s="205"/>
      <c r="O215" s="206"/>
    </row>
    <row r="216" spans="4:15" s="112" customFormat="1" ht="12.75">
      <c r="D216" s="205"/>
      <c r="E216" s="206"/>
      <c r="F216" s="205"/>
      <c r="G216" s="206"/>
      <c r="H216" s="205"/>
      <c r="I216" s="206"/>
      <c r="J216" s="205"/>
      <c r="K216" s="206"/>
      <c r="L216" s="205"/>
      <c r="M216" s="206"/>
      <c r="N216" s="205"/>
      <c r="O216" s="206"/>
    </row>
    <row r="217" spans="4:15" s="112" customFormat="1" ht="12.75">
      <c r="D217" s="205"/>
      <c r="E217" s="206"/>
      <c r="F217" s="205"/>
      <c r="G217" s="206"/>
      <c r="H217" s="205"/>
      <c r="I217" s="206"/>
      <c r="J217" s="205"/>
      <c r="K217" s="206"/>
      <c r="L217" s="205"/>
      <c r="M217" s="206"/>
      <c r="N217" s="205"/>
      <c r="O217" s="206"/>
    </row>
    <row r="218" spans="4:15" s="112" customFormat="1" ht="12.75">
      <c r="D218" s="205"/>
      <c r="E218" s="206"/>
      <c r="F218" s="205"/>
      <c r="G218" s="206"/>
      <c r="H218" s="205"/>
      <c r="I218" s="206"/>
      <c r="J218" s="205"/>
      <c r="K218" s="206"/>
      <c r="L218" s="205"/>
      <c r="M218" s="206"/>
      <c r="N218" s="205"/>
      <c r="O218" s="206"/>
    </row>
    <row r="219" spans="4:15" s="112" customFormat="1" ht="12.75">
      <c r="D219" s="205"/>
      <c r="E219" s="206"/>
      <c r="F219" s="205"/>
      <c r="G219" s="206"/>
      <c r="H219" s="205"/>
      <c r="I219" s="206"/>
      <c r="J219" s="205"/>
      <c r="K219" s="206"/>
      <c r="L219" s="205"/>
      <c r="M219" s="206"/>
      <c r="N219" s="205"/>
      <c r="O219" s="206"/>
    </row>
    <row r="220" spans="4:15" s="112" customFormat="1" ht="12.75">
      <c r="D220" s="205"/>
      <c r="E220" s="206"/>
      <c r="F220" s="205"/>
      <c r="G220" s="206"/>
      <c r="H220" s="205"/>
      <c r="I220" s="206"/>
      <c r="J220" s="205"/>
      <c r="K220" s="206"/>
      <c r="L220" s="205"/>
      <c r="M220" s="206"/>
      <c r="N220" s="205"/>
      <c r="O220" s="206"/>
    </row>
    <row r="221" spans="4:15" s="112" customFormat="1" ht="12.75">
      <c r="D221" s="205"/>
      <c r="E221" s="206"/>
      <c r="F221" s="205"/>
      <c r="G221" s="206"/>
      <c r="H221" s="205"/>
      <c r="I221" s="206"/>
      <c r="J221" s="205"/>
      <c r="K221" s="206"/>
      <c r="L221" s="205"/>
      <c r="M221" s="206"/>
      <c r="N221" s="205"/>
      <c r="O221" s="206"/>
    </row>
    <row r="222" spans="4:15" s="112" customFormat="1" ht="12.75">
      <c r="D222" s="205"/>
      <c r="E222" s="206"/>
      <c r="F222" s="205"/>
      <c r="G222" s="206"/>
      <c r="H222" s="205"/>
      <c r="I222" s="206"/>
      <c r="J222" s="205"/>
      <c r="K222" s="206"/>
      <c r="L222" s="205"/>
      <c r="M222" s="206"/>
      <c r="N222" s="205"/>
      <c r="O222" s="206"/>
    </row>
    <row r="223" spans="4:15" s="112" customFormat="1" ht="12.75">
      <c r="D223" s="205"/>
      <c r="E223" s="206"/>
      <c r="F223" s="205"/>
      <c r="G223" s="206"/>
      <c r="H223" s="205"/>
      <c r="I223" s="206"/>
      <c r="J223" s="205"/>
      <c r="K223" s="206"/>
      <c r="L223" s="205"/>
      <c r="M223" s="206"/>
      <c r="N223" s="205"/>
      <c r="O223" s="206"/>
    </row>
    <row r="224" spans="4:15" s="112" customFormat="1" ht="12.75">
      <c r="D224" s="205"/>
      <c r="E224" s="206"/>
      <c r="F224" s="205"/>
      <c r="G224" s="206"/>
      <c r="H224" s="205"/>
      <c r="I224" s="206"/>
      <c r="J224" s="205"/>
      <c r="K224" s="206"/>
      <c r="L224" s="205"/>
      <c r="M224" s="206"/>
      <c r="N224" s="205"/>
      <c r="O224" s="206"/>
    </row>
    <row r="225" spans="4:15" s="112" customFormat="1" ht="12.75">
      <c r="D225" s="205"/>
      <c r="E225" s="206"/>
      <c r="F225" s="205"/>
      <c r="G225" s="206"/>
      <c r="H225" s="205"/>
      <c r="I225" s="206"/>
      <c r="J225" s="205"/>
      <c r="K225" s="206"/>
      <c r="L225" s="205"/>
      <c r="M225" s="206"/>
      <c r="N225" s="205"/>
      <c r="O225" s="206"/>
    </row>
    <row r="226" spans="4:15" s="112" customFormat="1" ht="12.75">
      <c r="D226" s="205"/>
      <c r="E226" s="206"/>
      <c r="F226" s="205"/>
      <c r="G226" s="206"/>
      <c r="H226" s="205"/>
      <c r="I226" s="206"/>
      <c r="J226" s="205"/>
      <c r="K226" s="206"/>
      <c r="L226" s="205"/>
      <c r="M226" s="206"/>
      <c r="N226" s="205"/>
      <c r="O226" s="206"/>
    </row>
    <row r="227" spans="4:15" s="112" customFormat="1" ht="12.75">
      <c r="D227" s="205"/>
      <c r="E227" s="206"/>
      <c r="F227" s="205"/>
      <c r="G227" s="206"/>
      <c r="H227" s="205"/>
      <c r="I227" s="206"/>
      <c r="J227" s="205"/>
      <c r="K227" s="206"/>
      <c r="L227" s="205"/>
      <c r="M227" s="206"/>
      <c r="N227" s="205"/>
      <c r="O227" s="206"/>
    </row>
    <row r="228" spans="4:15" s="112" customFormat="1" ht="12.75">
      <c r="D228" s="205"/>
      <c r="E228" s="206"/>
      <c r="F228" s="205"/>
      <c r="G228" s="206"/>
      <c r="H228" s="205"/>
      <c r="I228" s="206"/>
      <c r="J228" s="205"/>
      <c r="K228" s="206"/>
      <c r="L228" s="205"/>
      <c r="M228" s="206"/>
      <c r="N228" s="205"/>
      <c r="O228" s="206"/>
    </row>
    <row r="229" spans="4:15" s="112" customFormat="1" ht="12.75">
      <c r="D229" s="205"/>
      <c r="E229" s="206"/>
      <c r="F229" s="205"/>
      <c r="G229" s="206"/>
      <c r="H229" s="205"/>
      <c r="I229" s="206"/>
      <c r="J229" s="205"/>
      <c r="K229" s="206"/>
      <c r="L229" s="205"/>
      <c r="M229" s="206"/>
      <c r="N229" s="205"/>
      <c r="O229" s="206"/>
    </row>
    <row r="230" spans="4:15" s="112" customFormat="1" ht="12.75">
      <c r="D230" s="205"/>
      <c r="E230" s="206"/>
      <c r="F230" s="205"/>
      <c r="G230" s="206"/>
      <c r="H230" s="205"/>
      <c r="I230" s="206"/>
      <c r="J230" s="205"/>
      <c r="K230" s="206"/>
      <c r="L230" s="205"/>
      <c r="M230" s="206"/>
      <c r="N230" s="205"/>
      <c r="O230" s="206"/>
    </row>
    <row r="231" spans="4:15" s="112" customFormat="1" ht="12.75">
      <c r="D231" s="205"/>
      <c r="E231" s="206"/>
      <c r="F231" s="205"/>
      <c r="G231" s="206"/>
      <c r="H231" s="205"/>
      <c r="I231" s="206"/>
      <c r="J231" s="205"/>
      <c r="K231" s="206"/>
      <c r="L231" s="205"/>
      <c r="M231" s="206"/>
      <c r="N231" s="205"/>
      <c r="O231" s="206"/>
    </row>
    <row r="232" spans="4:15" s="112" customFormat="1" ht="12.75">
      <c r="D232" s="205"/>
      <c r="E232" s="206"/>
      <c r="F232" s="205"/>
      <c r="G232" s="206"/>
      <c r="H232" s="205"/>
      <c r="I232" s="206"/>
      <c r="J232" s="205"/>
      <c r="K232" s="206"/>
      <c r="L232" s="205"/>
      <c r="M232" s="206"/>
      <c r="N232" s="205"/>
      <c r="O232" s="206"/>
    </row>
    <row r="233" spans="4:15" s="112" customFormat="1" ht="12.75">
      <c r="D233" s="205"/>
      <c r="E233" s="206"/>
      <c r="F233" s="205"/>
      <c r="G233" s="206"/>
      <c r="H233" s="205"/>
      <c r="I233" s="206"/>
      <c r="J233" s="205"/>
      <c r="K233" s="206"/>
      <c r="L233" s="205"/>
      <c r="M233" s="206"/>
      <c r="N233" s="205"/>
      <c r="O233" s="206"/>
    </row>
    <row r="234" spans="4:15" s="112" customFormat="1" ht="12.75">
      <c r="D234" s="205"/>
      <c r="E234" s="206"/>
      <c r="F234" s="205"/>
      <c r="G234" s="206"/>
      <c r="H234" s="205"/>
      <c r="I234" s="206"/>
      <c r="J234" s="205"/>
      <c r="K234" s="206"/>
      <c r="L234" s="205"/>
      <c r="M234" s="206"/>
      <c r="N234" s="205"/>
      <c r="O234" s="206"/>
    </row>
    <row r="235" spans="4:15" s="112" customFormat="1" ht="12.75">
      <c r="D235" s="205"/>
      <c r="E235" s="206"/>
      <c r="F235" s="205"/>
      <c r="G235" s="206"/>
      <c r="H235" s="205"/>
      <c r="I235" s="206"/>
      <c r="J235" s="205"/>
      <c r="K235" s="206"/>
      <c r="L235" s="205"/>
      <c r="M235" s="206"/>
      <c r="N235" s="205"/>
      <c r="O235" s="206"/>
    </row>
    <row r="236" spans="4:15" s="112" customFormat="1" ht="12.75">
      <c r="D236" s="205"/>
      <c r="E236" s="206"/>
      <c r="F236" s="205"/>
      <c r="G236" s="206"/>
      <c r="H236" s="205"/>
      <c r="I236" s="206"/>
      <c r="J236" s="205"/>
      <c r="K236" s="206"/>
      <c r="L236" s="205"/>
      <c r="M236" s="206"/>
      <c r="N236" s="205"/>
      <c r="O236" s="206"/>
    </row>
    <row r="237" spans="4:15" s="112" customFormat="1" ht="12.75">
      <c r="D237" s="205"/>
      <c r="E237" s="206"/>
      <c r="F237" s="205"/>
      <c r="G237" s="206"/>
      <c r="H237" s="205"/>
      <c r="I237" s="206"/>
      <c r="J237" s="205"/>
      <c r="K237" s="206"/>
      <c r="L237" s="205"/>
      <c r="M237" s="206"/>
      <c r="N237" s="205"/>
      <c r="O237" s="206"/>
    </row>
    <row r="238" spans="4:15" s="112" customFormat="1" ht="12.75">
      <c r="D238" s="205"/>
      <c r="E238" s="206"/>
      <c r="F238" s="205"/>
      <c r="G238" s="206"/>
      <c r="H238" s="205"/>
      <c r="I238" s="206"/>
      <c r="J238" s="205"/>
      <c r="K238" s="206"/>
      <c r="L238" s="205"/>
      <c r="M238" s="206"/>
      <c r="N238" s="205"/>
      <c r="O238" s="206"/>
    </row>
    <row r="239" spans="4:15" s="112" customFormat="1" ht="12.75">
      <c r="D239" s="205"/>
      <c r="E239" s="206"/>
      <c r="F239" s="205"/>
      <c r="G239" s="206"/>
      <c r="H239" s="205"/>
      <c r="I239" s="206"/>
      <c r="J239" s="205"/>
      <c r="K239" s="206"/>
      <c r="L239" s="205"/>
      <c r="M239" s="206"/>
      <c r="N239" s="205"/>
      <c r="O239" s="206"/>
    </row>
    <row r="240" spans="4:15" s="112" customFormat="1" ht="12.75">
      <c r="D240" s="205"/>
      <c r="E240" s="206"/>
      <c r="F240" s="205"/>
      <c r="G240" s="206"/>
      <c r="H240" s="205"/>
      <c r="I240" s="206"/>
      <c r="J240" s="205"/>
      <c r="K240" s="206"/>
      <c r="L240" s="205"/>
      <c r="M240" s="206"/>
      <c r="N240" s="205"/>
      <c r="O240" s="206"/>
    </row>
    <row r="241" spans="4:15" s="112" customFormat="1" ht="12.75">
      <c r="D241" s="205"/>
      <c r="E241" s="206"/>
      <c r="F241" s="205"/>
      <c r="G241" s="206"/>
      <c r="H241" s="205"/>
      <c r="I241" s="206"/>
      <c r="J241" s="205"/>
      <c r="K241" s="206"/>
      <c r="L241" s="205"/>
      <c r="M241" s="206"/>
      <c r="N241" s="205"/>
      <c r="O241" s="206"/>
    </row>
    <row r="242" spans="4:15" s="112" customFormat="1" ht="12.75">
      <c r="D242" s="205"/>
      <c r="E242" s="206"/>
      <c r="F242" s="205"/>
      <c r="G242" s="206"/>
      <c r="H242" s="205"/>
      <c r="I242" s="206"/>
      <c r="J242" s="205"/>
      <c r="K242" s="206"/>
      <c r="L242" s="205"/>
      <c r="M242" s="206"/>
      <c r="N242" s="205"/>
      <c r="O242" s="206"/>
    </row>
    <row r="243" spans="4:15" s="112" customFormat="1" ht="12.75">
      <c r="D243" s="205"/>
      <c r="E243" s="206"/>
      <c r="F243" s="205"/>
      <c r="G243" s="206"/>
      <c r="H243" s="205"/>
      <c r="I243" s="206"/>
      <c r="J243" s="205"/>
      <c r="K243" s="206"/>
      <c r="L243" s="205"/>
      <c r="M243" s="206"/>
      <c r="N243" s="205"/>
      <c r="O243" s="206"/>
    </row>
    <row r="244" spans="4:15" s="112" customFormat="1" ht="12.75">
      <c r="D244" s="205"/>
      <c r="E244" s="206"/>
      <c r="F244" s="205"/>
      <c r="G244" s="206"/>
      <c r="H244" s="205"/>
      <c r="I244" s="206"/>
      <c r="J244" s="205"/>
      <c r="K244" s="206"/>
      <c r="L244" s="205"/>
      <c r="M244" s="206"/>
      <c r="N244" s="205"/>
      <c r="O244" s="206"/>
    </row>
    <row r="245" spans="4:15" s="112" customFormat="1" ht="12.75">
      <c r="D245" s="205"/>
      <c r="E245" s="206"/>
      <c r="F245" s="205"/>
      <c r="G245" s="206"/>
      <c r="H245" s="205"/>
      <c r="I245" s="206"/>
      <c r="J245" s="205"/>
      <c r="K245" s="206"/>
      <c r="L245" s="205"/>
      <c r="M245" s="206"/>
      <c r="N245" s="205"/>
      <c r="O245" s="206"/>
    </row>
    <row r="246" spans="4:15" s="112" customFormat="1" ht="12.75">
      <c r="D246" s="205"/>
      <c r="E246" s="206"/>
      <c r="F246" s="205"/>
      <c r="G246" s="206"/>
      <c r="H246" s="205"/>
      <c r="I246" s="206"/>
      <c r="J246" s="205"/>
      <c r="K246" s="206"/>
      <c r="L246" s="205"/>
      <c r="M246" s="206"/>
      <c r="N246" s="205"/>
      <c r="O246" s="206"/>
    </row>
    <row r="247" spans="4:15" s="112" customFormat="1" ht="12.75">
      <c r="D247" s="205"/>
      <c r="E247" s="206"/>
      <c r="F247" s="205"/>
      <c r="G247" s="206"/>
      <c r="H247" s="205"/>
      <c r="I247" s="206"/>
      <c r="J247" s="205"/>
      <c r="K247" s="206"/>
      <c r="L247" s="205"/>
      <c r="M247" s="206"/>
      <c r="N247" s="205"/>
      <c r="O247" s="206"/>
    </row>
    <row r="248" spans="4:15" s="112" customFormat="1" ht="12.75">
      <c r="D248" s="205"/>
      <c r="E248" s="206"/>
      <c r="F248" s="205"/>
      <c r="G248" s="206"/>
      <c r="H248" s="205"/>
      <c r="I248" s="206"/>
      <c r="J248" s="205"/>
      <c r="K248" s="206"/>
      <c r="L248" s="205"/>
      <c r="M248" s="206"/>
      <c r="N248" s="205"/>
      <c r="O248" s="206"/>
    </row>
    <row r="249" spans="4:15" s="112" customFormat="1" ht="12.75">
      <c r="D249" s="205"/>
      <c r="E249" s="206"/>
      <c r="F249" s="205"/>
      <c r="G249" s="206"/>
      <c r="H249" s="205"/>
      <c r="I249" s="206"/>
      <c r="J249" s="205"/>
      <c r="K249" s="206"/>
      <c r="L249" s="205"/>
      <c r="M249" s="206"/>
      <c r="N249" s="205"/>
      <c r="O249" s="206"/>
    </row>
    <row r="250" spans="4:15" s="112" customFormat="1" ht="12.75">
      <c r="D250" s="205"/>
      <c r="E250" s="206"/>
      <c r="F250" s="205"/>
      <c r="G250" s="206"/>
      <c r="H250" s="205"/>
      <c r="I250" s="206"/>
      <c r="J250" s="205"/>
      <c r="K250" s="206"/>
      <c r="L250" s="205"/>
      <c r="M250" s="206"/>
      <c r="N250" s="205"/>
      <c r="O250" s="206"/>
    </row>
    <row r="251" spans="4:15" s="112" customFormat="1" ht="12.75">
      <c r="D251" s="205"/>
      <c r="E251" s="206"/>
      <c r="F251" s="205"/>
      <c r="G251" s="206"/>
      <c r="H251" s="205"/>
      <c r="I251" s="206"/>
      <c r="J251" s="205"/>
      <c r="K251" s="206"/>
      <c r="L251" s="205"/>
      <c r="M251" s="206"/>
      <c r="N251" s="205"/>
      <c r="O251" s="206"/>
    </row>
    <row r="252" spans="4:15" s="112" customFormat="1" ht="12.75">
      <c r="D252" s="205"/>
      <c r="E252" s="206"/>
      <c r="F252" s="205"/>
      <c r="G252" s="206"/>
      <c r="H252" s="205"/>
      <c r="I252" s="206"/>
      <c r="J252" s="205"/>
      <c r="K252" s="206"/>
      <c r="L252" s="205"/>
      <c r="M252" s="206"/>
      <c r="N252" s="205"/>
      <c r="O252" s="206"/>
    </row>
    <row r="253" spans="4:15" s="112" customFormat="1" ht="12.75">
      <c r="D253" s="205"/>
      <c r="E253" s="206"/>
      <c r="F253" s="205"/>
      <c r="G253" s="206"/>
      <c r="H253" s="205"/>
      <c r="I253" s="206"/>
      <c r="J253" s="205"/>
      <c r="K253" s="206"/>
      <c r="L253" s="205"/>
      <c r="M253" s="206"/>
      <c r="N253" s="205"/>
      <c r="O253" s="206"/>
    </row>
    <row r="254" spans="4:15" s="112" customFormat="1" ht="12.75">
      <c r="D254" s="205"/>
      <c r="E254" s="206"/>
      <c r="F254" s="205"/>
      <c r="G254" s="206"/>
      <c r="H254" s="205"/>
      <c r="I254" s="206"/>
      <c r="J254" s="205"/>
      <c r="K254" s="206"/>
      <c r="L254" s="205"/>
      <c r="M254" s="206"/>
      <c r="N254" s="205"/>
      <c r="O254" s="206"/>
    </row>
    <row r="255" spans="4:15" s="112" customFormat="1" ht="12.75">
      <c r="D255" s="205"/>
      <c r="E255" s="206"/>
      <c r="F255" s="205"/>
      <c r="G255" s="206"/>
      <c r="H255" s="205"/>
      <c r="I255" s="206"/>
      <c r="J255" s="205"/>
      <c r="K255" s="206"/>
      <c r="L255" s="205"/>
      <c r="M255" s="206"/>
      <c r="N255" s="205"/>
      <c r="O255" s="206"/>
    </row>
    <row r="256" spans="4:15" s="112" customFormat="1" ht="12.75">
      <c r="D256" s="205"/>
      <c r="E256" s="206"/>
      <c r="F256" s="205"/>
      <c r="G256" s="206"/>
      <c r="H256" s="205"/>
      <c r="I256" s="206"/>
      <c r="J256" s="205"/>
      <c r="K256" s="206"/>
      <c r="L256" s="205"/>
      <c r="M256" s="206"/>
      <c r="N256" s="205"/>
      <c r="O256" s="206"/>
    </row>
    <row r="257" spans="4:15" s="112" customFormat="1" ht="12.75">
      <c r="D257" s="205"/>
      <c r="E257" s="206"/>
      <c r="F257" s="205"/>
      <c r="G257" s="206"/>
      <c r="H257" s="205"/>
      <c r="I257" s="206"/>
      <c r="J257" s="205"/>
      <c r="K257" s="206"/>
      <c r="L257" s="205"/>
      <c r="M257" s="206"/>
      <c r="N257" s="205"/>
      <c r="O257" s="206"/>
    </row>
    <row r="258" spans="4:15" s="112" customFormat="1" ht="12.75">
      <c r="D258" s="205"/>
      <c r="E258" s="206"/>
      <c r="F258" s="205"/>
      <c r="G258" s="206"/>
      <c r="H258" s="205"/>
      <c r="I258" s="206"/>
      <c r="J258" s="205"/>
      <c r="K258" s="206"/>
      <c r="L258" s="205"/>
      <c r="M258" s="206"/>
      <c r="N258" s="205"/>
      <c r="O258" s="206"/>
    </row>
    <row r="259" spans="4:15" s="112" customFormat="1" ht="12.75">
      <c r="D259" s="205"/>
      <c r="E259" s="206"/>
      <c r="F259" s="205"/>
      <c r="G259" s="206"/>
      <c r="H259" s="205"/>
      <c r="I259" s="206"/>
      <c r="J259" s="205"/>
      <c r="K259" s="206"/>
      <c r="L259" s="205"/>
      <c r="M259" s="206"/>
      <c r="N259" s="205"/>
      <c r="O259" s="206"/>
    </row>
    <row r="260" spans="4:15" s="112" customFormat="1" ht="12.75">
      <c r="D260" s="205"/>
      <c r="E260" s="206"/>
      <c r="F260" s="205"/>
      <c r="G260" s="206"/>
      <c r="H260" s="205"/>
      <c r="I260" s="206"/>
      <c r="J260" s="205"/>
      <c r="K260" s="206"/>
      <c r="L260" s="205"/>
      <c r="M260" s="206"/>
      <c r="N260" s="205"/>
      <c r="O260" s="206"/>
    </row>
    <row r="261" spans="4:15" s="112" customFormat="1" ht="12.75">
      <c r="D261" s="205"/>
      <c r="E261" s="206"/>
      <c r="F261" s="205"/>
      <c r="G261" s="206"/>
      <c r="H261" s="205"/>
      <c r="I261" s="206"/>
      <c r="J261" s="205"/>
      <c r="K261" s="206"/>
      <c r="L261" s="205"/>
      <c r="M261" s="206"/>
      <c r="N261" s="205"/>
      <c r="O261" s="206"/>
    </row>
    <row r="262" spans="4:15" s="112" customFormat="1" ht="12.75">
      <c r="D262" s="205"/>
      <c r="E262" s="206"/>
      <c r="F262" s="205"/>
      <c r="G262" s="206"/>
      <c r="H262" s="205"/>
      <c r="I262" s="206"/>
      <c r="J262" s="205"/>
      <c r="K262" s="206"/>
      <c r="L262" s="205"/>
      <c r="M262" s="206"/>
      <c r="N262" s="205"/>
      <c r="O262" s="206"/>
    </row>
    <row r="263" spans="4:15" s="112" customFormat="1" ht="12.75">
      <c r="D263" s="205"/>
      <c r="E263" s="206"/>
      <c r="F263" s="205"/>
      <c r="G263" s="206"/>
      <c r="H263" s="205"/>
      <c r="I263" s="206"/>
      <c r="J263" s="205"/>
      <c r="K263" s="206"/>
      <c r="L263" s="205"/>
      <c r="M263" s="206"/>
      <c r="N263" s="205"/>
      <c r="O263" s="206"/>
    </row>
    <row r="264" spans="4:15" s="112" customFormat="1" ht="12.75">
      <c r="D264" s="205"/>
      <c r="E264" s="206"/>
      <c r="F264" s="205"/>
      <c r="G264" s="206"/>
      <c r="H264" s="205"/>
      <c r="I264" s="206"/>
      <c r="J264" s="205"/>
      <c r="K264" s="206"/>
      <c r="L264" s="205"/>
      <c r="M264" s="206"/>
      <c r="N264" s="205"/>
      <c r="O264" s="206"/>
    </row>
    <row r="265" spans="4:15" s="112" customFormat="1" ht="12.75">
      <c r="D265" s="205"/>
      <c r="E265" s="206"/>
      <c r="F265" s="205"/>
      <c r="G265" s="206"/>
      <c r="H265" s="205"/>
      <c r="I265" s="206"/>
      <c r="J265" s="205"/>
      <c r="K265" s="206"/>
      <c r="L265" s="205"/>
      <c r="M265" s="206"/>
      <c r="N265" s="205"/>
      <c r="O265" s="206"/>
    </row>
    <row r="266" spans="4:15" s="112" customFormat="1" ht="12.75">
      <c r="D266" s="205"/>
      <c r="E266" s="206"/>
      <c r="F266" s="205"/>
      <c r="G266" s="206"/>
      <c r="H266" s="205"/>
      <c r="I266" s="206"/>
      <c r="J266" s="205"/>
      <c r="K266" s="206"/>
      <c r="L266" s="205"/>
      <c r="M266" s="206"/>
      <c r="N266" s="205"/>
      <c r="O266" s="206"/>
    </row>
    <row r="267" spans="4:15" s="112" customFormat="1" ht="12.75">
      <c r="D267" s="205"/>
      <c r="E267" s="206"/>
      <c r="F267" s="205"/>
      <c r="G267" s="206"/>
      <c r="H267" s="205"/>
      <c r="I267" s="206"/>
      <c r="J267" s="205"/>
      <c r="K267" s="206"/>
      <c r="L267" s="205"/>
      <c r="M267" s="206"/>
      <c r="N267" s="205"/>
      <c r="O267" s="206"/>
    </row>
    <row r="268" spans="4:15" s="112" customFormat="1" ht="12.75">
      <c r="D268" s="205"/>
      <c r="E268" s="206"/>
      <c r="F268" s="205"/>
      <c r="G268" s="206"/>
      <c r="H268" s="205"/>
      <c r="I268" s="206"/>
      <c r="J268" s="205"/>
      <c r="K268" s="206"/>
      <c r="L268" s="205"/>
      <c r="M268" s="206"/>
      <c r="N268" s="205"/>
      <c r="O268" s="206"/>
    </row>
    <row r="269" spans="4:15" s="112" customFormat="1" ht="12.75">
      <c r="D269" s="205"/>
      <c r="E269" s="206"/>
      <c r="F269" s="205"/>
      <c r="G269" s="206"/>
      <c r="H269" s="205"/>
      <c r="I269" s="206"/>
      <c r="J269" s="205"/>
      <c r="K269" s="206"/>
      <c r="L269" s="205"/>
      <c r="M269" s="206"/>
      <c r="N269" s="205"/>
      <c r="O269" s="206"/>
    </row>
    <row r="270" spans="4:15" s="112" customFormat="1" ht="12.75">
      <c r="D270" s="205"/>
      <c r="E270" s="206"/>
      <c r="F270" s="205"/>
      <c r="G270" s="206"/>
      <c r="H270" s="205"/>
      <c r="I270" s="206"/>
      <c r="J270" s="205"/>
      <c r="K270" s="206"/>
      <c r="L270" s="205"/>
      <c r="M270" s="206"/>
      <c r="N270" s="205"/>
      <c r="O270" s="206"/>
    </row>
    <row r="271" spans="4:15" s="112" customFormat="1" ht="12.75">
      <c r="D271" s="205"/>
      <c r="E271" s="206"/>
      <c r="F271" s="205"/>
      <c r="G271" s="206"/>
      <c r="H271" s="205"/>
      <c r="I271" s="206"/>
      <c r="J271" s="205"/>
      <c r="K271" s="206"/>
      <c r="L271" s="205"/>
      <c r="M271" s="206"/>
      <c r="N271" s="205"/>
      <c r="O271" s="206"/>
    </row>
    <row r="272" spans="4:15" s="112" customFormat="1" ht="12.75">
      <c r="D272" s="205"/>
      <c r="E272" s="206"/>
      <c r="F272" s="205"/>
      <c r="G272" s="206"/>
      <c r="H272" s="205"/>
      <c r="I272" s="206"/>
      <c r="J272" s="205"/>
      <c r="K272" s="206"/>
      <c r="L272" s="205"/>
      <c r="M272" s="206"/>
      <c r="N272" s="205"/>
      <c r="O272" s="206"/>
    </row>
    <row r="273" spans="4:15" s="112" customFormat="1" ht="12.75">
      <c r="D273" s="205"/>
      <c r="E273" s="206"/>
      <c r="F273" s="205"/>
      <c r="G273" s="206"/>
      <c r="H273" s="205"/>
      <c r="I273" s="206"/>
      <c r="J273" s="205"/>
      <c r="K273" s="206"/>
      <c r="L273" s="205"/>
      <c r="M273" s="206"/>
      <c r="N273" s="205"/>
      <c r="O273" s="206"/>
    </row>
    <row r="274" spans="4:15" s="112" customFormat="1" ht="12.75">
      <c r="D274" s="205"/>
      <c r="E274" s="206"/>
      <c r="F274" s="205"/>
      <c r="G274" s="206"/>
      <c r="H274" s="205"/>
      <c r="I274" s="206"/>
      <c r="J274" s="205"/>
      <c r="K274" s="206"/>
      <c r="L274" s="205"/>
      <c r="M274" s="206"/>
      <c r="N274" s="205"/>
      <c r="O274" s="206"/>
    </row>
    <row r="275" spans="4:15" s="112" customFormat="1" ht="12.75">
      <c r="D275" s="205"/>
      <c r="E275" s="206"/>
      <c r="F275" s="205"/>
      <c r="G275" s="206"/>
      <c r="H275" s="205"/>
      <c r="I275" s="206"/>
      <c r="J275" s="205"/>
      <c r="K275" s="206"/>
      <c r="L275" s="205"/>
      <c r="M275" s="206"/>
      <c r="N275" s="205"/>
      <c r="O275" s="206"/>
    </row>
    <row r="276" spans="4:15" s="112" customFormat="1" ht="12.75">
      <c r="D276" s="205"/>
      <c r="E276" s="206"/>
      <c r="F276" s="205"/>
      <c r="G276" s="206"/>
      <c r="H276" s="205"/>
      <c r="I276" s="206"/>
      <c r="J276" s="205"/>
      <c r="K276" s="206"/>
      <c r="L276" s="205"/>
      <c r="M276" s="206"/>
      <c r="N276" s="205"/>
      <c r="O276" s="206"/>
    </row>
    <row r="277" spans="4:15" s="112" customFormat="1" ht="12.75">
      <c r="D277" s="205"/>
      <c r="E277" s="206"/>
      <c r="F277" s="205"/>
      <c r="G277" s="206"/>
      <c r="H277" s="205"/>
      <c r="I277" s="206"/>
      <c r="J277" s="205"/>
      <c r="K277" s="206"/>
      <c r="L277" s="205"/>
      <c r="M277" s="206"/>
      <c r="N277" s="205"/>
      <c r="O277" s="206"/>
    </row>
    <row r="278" spans="4:15" s="112" customFormat="1" ht="12.75">
      <c r="D278" s="205"/>
      <c r="E278" s="206"/>
      <c r="F278" s="205"/>
      <c r="G278" s="206"/>
      <c r="H278" s="205"/>
      <c r="I278" s="206"/>
      <c r="J278" s="205"/>
      <c r="K278" s="206"/>
      <c r="L278" s="205"/>
      <c r="M278" s="206"/>
      <c r="N278" s="205"/>
      <c r="O278" s="206"/>
    </row>
    <row r="279" spans="4:15" s="112" customFormat="1" ht="12.75">
      <c r="D279" s="205"/>
      <c r="E279" s="206"/>
      <c r="F279" s="205"/>
      <c r="G279" s="206"/>
      <c r="H279" s="205"/>
      <c r="I279" s="206"/>
      <c r="J279" s="205"/>
      <c r="K279" s="206"/>
      <c r="L279" s="205"/>
      <c r="M279" s="206"/>
      <c r="N279" s="205"/>
      <c r="O279" s="206"/>
    </row>
    <row r="280" spans="4:15" s="112" customFormat="1" ht="12.75">
      <c r="D280" s="205"/>
      <c r="E280" s="206"/>
      <c r="F280" s="205"/>
      <c r="G280" s="206"/>
      <c r="H280" s="205"/>
      <c r="I280" s="206"/>
      <c r="J280" s="205"/>
      <c r="K280" s="206"/>
      <c r="L280" s="205"/>
      <c r="M280" s="206"/>
      <c r="N280" s="205"/>
      <c r="O280" s="206"/>
    </row>
    <row r="281" spans="4:15" s="112" customFormat="1" ht="12.75">
      <c r="D281" s="205"/>
      <c r="E281" s="206"/>
      <c r="F281" s="205"/>
      <c r="G281" s="206"/>
      <c r="H281" s="205"/>
      <c r="I281" s="206"/>
      <c r="J281" s="205"/>
      <c r="K281" s="206"/>
      <c r="L281" s="205"/>
      <c r="M281" s="206"/>
      <c r="N281" s="205"/>
      <c r="O281" s="206"/>
    </row>
    <row r="282" spans="4:15" s="112" customFormat="1" ht="12.75">
      <c r="D282" s="205"/>
      <c r="E282" s="206"/>
      <c r="F282" s="205"/>
      <c r="G282" s="206"/>
      <c r="H282" s="205"/>
      <c r="I282" s="206"/>
      <c r="J282" s="205"/>
      <c r="K282" s="206"/>
      <c r="L282" s="205"/>
      <c r="M282" s="206"/>
      <c r="N282" s="205"/>
      <c r="O282" s="206"/>
    </row>
    <row r="283" spans="4:15" s="112" customFormat="1" ht="12.75">
      <c r="D283" s="205"/>
      <c r="E283" s="206"/>
      <c r="F283" s="205"/>
      <c r="G283" s="206"/>
      <c r="H283" s="205"/>
      <c r="I283" s="206"/>
      <c r="J283" s="205"/>
      <c r="K283" s="206"/>
      <c r="L283" s="205"/>
      <c r="M283" s="206"/>
      <c r="N283" s="205"/>
      <c r="O283" s="206"/>
    </row>
    <row r="284" spans="4:15" s="112" customFormat="1" ht="12.75">
      <c r="D284" s="205"/>
      <c r="E284" s="206"/>
      <c r="F284" s="205"/>
      <c r="G284" s="206"/>
      <c r="H284" s="205"/>
      <c r="I284" s="206"/>
      <c r="J284" s="205"/>
      <c r="K284" s="206"/>
      <c r="L284" s="205"/>
      <c r="M284" s="206"/>
      <c r="N284" s="205"/>
      <c r="O284" s="206"/>
    </row>
    <row r="285" spans="4:15" s="112" customFormat="1" ht="12.75">
      <c r="D285" s="205"/>
      <c r="E285" s="206"/>
      <c r="F285" s="205"/>
      <c r="G285" s="206"/>
      <c r="H285" s="205"/>
      <c r="I285" s="206"/>
      <c r="J285" s="205"/>
      <c r="K285" s="206"/>
      <c r="L285" s="205"/>
      <c r="M285" s="206"/>
      <c r="N285" s="205"/>
      <c r="O285" s="206"/>
    </row>
    <row r="286" spans="4:15" s="112" customFormat="1" ht="12.75">
      <c r="D286" s="205"/>
      <c r="E286" s="206"/>
      <c r="F286" s="205"/>
      <c r="G286" s="206"/>
      <c r="H286" s="205"/>
      <c r="I286" s="206"/>
      <c r="J286" s="205"/>
      <c r="K286" s="206"/>
      <c r="L286" s="205"/>
      <c r="M286" s="206"/>
      <c r="N286" s="205"/>
      <c r="O286" s="206"/>
    </row>
    <row r="287" spans="4:15" s="112" customFormat="1" ht="12.75">
      <c r="D287" s="205"/>
      <c r="E287" s="206"/>
      <c r="F287" s="205"/>
      <c r="G287" s="206"/>
      <c r="H287" s="205"/>
      <c r="I287" s="206"/>
      <c r="J287" s="205"/>
      <c r="K287" s="206"/>
      <c r="L287" s="205"/>
      <c r="M287" s="206"/>
      <c r="N287" s="205"/>
      <c r="O287" s="206"/>
    </row>
    <row r="288" spans="4:15" s="112" customFormat="1" ht="12.75">
      <c r="D288" s="205"/>
      <c r="E288" s="206"/>
      <c r="F288" s="205"/>
      <c r="G288" s="206"/>
      <c r="H288" s="205"/>
      <c r="I288" s="206"/>
      <c r="J288" s="205"/>
      <c r="K288" s="206"/>
      <c r="L288" s="205"/>
      <c r="M288" s="206"/>
      <c r="N288" s="205"/>
      <c r="O288" s="206"/>
    </row>
    <row r="289" spans="4:15" s="112" customFormat="1" ht="12.75">
      <c r="D289" s="205"/>
      <c r="E289" s="206"/>
      <c r="F289" s="205"/>
      <c r="G289" s="206"/>
      <c r="H289" s="205"/>
      <c r="I289" s="206"/>
      <c r="J289" s="205"/>
      <c r="K289" s="206"/>
      <c r="L289" s="205"/>
      <c r="M289" s="206"/>
      <c r="N289" s="205"/>
      <c r="O289" s="206"/>
    </row>
    <row r="290" spans="4:15" s="112" customFormat="1" ht="12.75">
      <c r="D290" s="205"/>
      <c r="E290" s="206"/>
      <c r="F290" s="205"/>
      <c r="G290" s="206"/>
      <c r="H290" s="205"/>
      <c r="I290" s="206"/>
      <c r="J290" s="205"/>
      <c r="K290" s="206"/>
      <c r="L290" s="205"/>
      <c r="M290" s="206"/>
      <c r="N290" s="205"/>
      <c r="O290" s="206"/>
    </row>
    <row r="291" spans="4:15" s="112" customFormat="1" ht="12.75">
      <c r="D291" s="205"/>
      <c r="E291" s="206"/>
      <c r="F291" s="205"/>
      <c r="G291" s="206"/>
      <c r="H291" s="205"/>
      <c r="I291" s="206"/>
      <c r="J291" s="205"/>
      <c r="K291" s="206"/>
      <c r="L291" s="205"/>
      <c r="M291" s="206"/>
      <c r="N291" s="205"/>
      <c r="O291" s="206"/>
    </row>
    <row r="292" spans="4:15" s="112" customFormat="1" ht="12.75">
      <c r="D292" s="205"/>
      <c r="E292" s="206"/>
      <c r="F292" s="205"/>
      <c r="G292" s="206"/>
      <c r="H292" s="205"/>
      <c r="I292" s="206"/>
      <c r="J292" s="205"/>
      <c r="K292" s="206"/>
      <c r="L292" s="205"/>
      <c r="M292" s="206"/>
      <c r="N292" s="205"/>
      <c r="O292" s="206"/>
    </row>
    <row r="293" spans="4:15" s="112" customFormat="1" ht="12.75">
      <c r="D293" s="205"/>
      <c r="E293" s="206"/>
      <c r="F293" s="205"/>
      <c r="G293" s="206"/>
      <c r="H293" s="205"/>
      <c r="I293" s="206"/>
      <c r="J293" s="205"/>
      <c r="K293" s="206"/>
      <c r="L293" s="205"/>
      <c r="M293" s="206"/>
      <c r="N293" s="205"/>
      <c r="O293" s="206"/>
    </row>
    <row r="294" spans="4:15" s="112" customFormat="1" ht="12.75">
      <c r="D294" s="205"/>
      <c r="E294" s="206"/>
      <c r="F294" s="205"/>
      <c r="G294" s="206"/>
      <c r="H294" s="205"/>
      <c r="I294" s="206"/>
      <c r="J294" s="205"/>
      <c r="K294" s="206"/>
      <c r="L294" s="205"/>
      <c r="M294" s="206"/>
      <c r="N294" s="205"/>
      <c r="O294" s="206"/>
    </row>
    <row r="295" spans="4:15" s="112" customFormat="1" ht="12.75">
      <c r="D295" s="205"/>
      <c r="E295" s="206"/>
      <c r="F295" s="205"/>
      <c r="G295" s="206"/>
      <c r="H295" s="205"/>
      <c r="I295" s="206"/>
      <c r="J295" s="205"/>
      <c r="K295" s="206"/>
      <c r="L295" s="205"/>
      <c r="M295" s="206"/>
      <c r="N295" s="205"/>
      <c r="O295" s="206"/>
    </row>
    <row r="296" spans="4:15" s="112" customFormat="1" ht="12.75">
      <c r="D296" s="205"/>
      <c r="E296" s="206"/>
      <c r="F296" s="205"/>
      <c r="G296" s="206"/>
      <c r="H296" s="205"/>
      <c r="I296" s="206"/>
      <c r="J296" s="205"/>
      <c r="K296" s="206"/>
      <c r="L296" s="205"/>
      <c r="M296" s="206"/>
      <c r="N296" s="205"/>
      <c r="O296" s="206"/>
    </row>
    <row r="297" spans="4:15" s="112" customFormat="1" ht="12.75">
      <c r="D297" s="205"/>
      <c r="E297" s="206"/>
      <c r="F297" s="205"/>
      <c r="G297" s="206"/>
      <c r="H297" s="205"/>
      <c r="I297" s="206"/>
      <c r="J297" s="205"/>
      <c r="K297" s="206"/>
      <c r="L297" s="205"/>
      <c r="M297" s="206"/>
      <c r="N297" s="205"/>
      <c r="O297" s="206"/>
    </row>
    <row r="298" spans="4:15" s="112" customFormat="1" ht="12.75">
      <c r="D298" s="205"/>
      <c r="E298" s="206"/>
      <c r="F298" s="205"/>
      <c r="G298" s="206"/>
      <c r="H298" s="205"/>
      <c r="I298" s="206"/>
      <c r="J298" s="205"/>
      <c r="K298" s="206"/>
      <c r="L298" s="205"/>
      <c r="M298" s="206"/>
      <c r="N298" s="205"/>
      <c r="O298" s="206"/>
    </row>
    <row r="299" spans="4:15" s="112" customFormat="1" ht="12.75">
      <c r="D299" s="205"/>
      <c r="E299" s="206"/>
      <c r="F299" s="205"/>
      <c r="G299" s="206"/>
      <c r="H299" s="205"/>
      <c r="I299" s="206"/>
      <c r="J299" s="205"/>
      <c r="K299" s="206"/>
      <c r="L299" s="205"/>
      <c r="M299" s="206"/>
      <c r="N299" s="205"/>
      <c r="O299" s="206"/>
    </row>
    <row r="300" spans="4:15" s="112" customFormat="1" ht="12.75">
      <c r="D300" s="205"/>
      <c r="E300" s="206"/>
      <c r="F300" s="205"/>
      <c r="G300" s="206"/>
      <c r="H300" s="205"/>
      <c r="I300" s="206"/>
      <c r="J300" s="205"/>
      <c r="K300" s="206"/>
      <c r="L300" s="205"/>
      <c r="M300" s="206"/>
      <c r="N300" s="205"/>
      <c r="O300" s="206"/>
    </row>
    <row r="301" spans="4:15" s="112" customFormat="1" ht="12.75">
      <c r="D301" s="205"/>
      <c r="E301" s="206"/>
      <c r="F301" s="205"/>
      <c r="G301" s="206"/>
      <c r="H301" s="205"/>
      <c r="I301" s="206"/>
      <c r="J301" s="205"/>
      <c r="K301" s="206"/>
      <c r="L301" s="205"/>
      <c r="M301" s="206"/>
      <c r="N301" s="205"/>
      <c r="O301" s="206"/>
    </row>
    <row r="302" spans="4:15" s="112" customFormat="1" ht="12.75">
      <c r="D302" s="205"/>
      <c r="E302" s="206"/>
      <c r="F302" s="205"/>
      <c r="G302" s="206"/>
      <c r="H302" s="205"/>
      <c r="I302" s="206"/>
      <c r="J302" s="205"/>
      <c r="K302" s="206"/>
      <c r="L302" s="205"/>
      <c r="M302" s="206"/>
      <c r="N302" s="205"/>
      <c r="O302" s="206"/>
    </row>
    <row r="303" spans="4:15" s="112" customFormat="1" ht="12.75">
      <c r="D303" s="205"/>
      <c r="E303" s="206"/>
      <c r="F303" s="205"/>
      <c r="G303" s="206"/>
      <c r="H303" s="205"/>
      <c r="I303" s="206"/>
      <c r="J303" s="205"/>
      <c r="K303" s="206"/>
      <c r="L303" s="205"/>
      <c r="M303" s="206"/>
      <c r="N303" s="205"/>
      <c r="O303" s="206"/>
    </row>
    <row r="304" spans="4:15" s="112" customFormat="1" ht="12.75">
      <c r="D304" s="205"/>
      <c r="E304" s="206"/>
      <c r="F304" s="205"/>
      <c r="G304" s="206"/>
      <c r="H304" s="205"/>
      <c r="I304" s="206"/>
      <c r="J304" s="205"/>
      <c r="K304" s="206"/>
      <c r="L304" s="205"/>
      <c r="M304" s="206"/>
      <c r="N304" s="205"/>
      <c r="O304" s="206"/>
    </row>
    <row r="305" spans="4:15" s="112" customFormat="1" ht="12.75">
      <c r="D305" s="205"/>
      <c r="E305" s="206"/>
      <c r="F305" s="205"/>
      <c r="G305" s="206"/>
      <c r="H305" s="205"/>
      <c r="I305" s="206"/>
      <c r="J305" s="205"/>
      <c r="K305" s="206"/>
      <c r="L305" s="205"/>
      <c r="M305" s="206"/>
      <c r="N305" s="205"/>
      <c r="O305" s="206"/>
    </row>
    <row r="306" spans="4:15" s="112" customFormat="1" ht="12.75">
      <c r="D306" s="205"/>
      <c r="E306" s="206"/>
      <c r="F306" s="205"/>
      <c r="G306" s="206"/>
      <c r="H306" s="205"/>
      <c r="I306" s="206"/>
      <c r="J306" s="205"/>
      <c r="K306" s="206"/>
      <c r="L306" s="205"/>
      <c r="M306" s="206"/>
      <c r="N306" s="205"/>
      <c r="O306" s="206"/>
    </row>
    <row r="307" spans="4:15" s="112" customFormat="1" ht="12.75">
      <c r="D307" s="205"/>
      <c r="E307" s="206"/>
      <c r="F307" s="205"/>
      <c r="G307" s="206"/>
      <c r="H307" s="205"/>
      <c r="I307" s="206"/>
      <c r="J307" s="205"/>
      <c r="K307" s="206"/>
      <c r="L307" s="205"/>
      <c r="M307" s="206"/>
      <c r="N307" s="205"/>
      <c r="O307" s="206"/>
    </row>
    <row r="308" spans="4:15" s="112" customFormat="1" ht="12.75">
      <c r="D308" s="205"/>
      <c r="E308" s="206"/>
      <c r="F308" s="205"/>
      <c r="G308" s="206"/>
      <c r="H308" s="205"/>
      <c r="I308" s="206"/>
      <c r="J308" s="205"/>
      <c r="K308" s="206"/>
      <c r="L308" s="205"/>
      <c r="M308" s="206"/>
      <c r="N308" s="205"/>
      <c r="O308" s="206"/>
    </row>
    <row r="309" spans="4:15" s="112" customFormat="1" ht="12.75">
      <c r="D309" s="205"/>
      <c r="E309" s="206"/>
      <c r="F309" s="205"/>
      <c r="G309" s="206"/>
      <c r="H309" s="205"/>
      <c r="I309" s="206"/>
      <c r="J309" s="205"/>
      <c r="K309" s="206"/>
      <c r="L309" s="205"/>
      <c r="M309" s="206"/>
      <c r="N309" s="205"/>
      <c r="O309" s="206"/>
    </row>
    <row r="310" spans="4:15" s="112" customFormat="1" ht="12.75">
      <c r="D310" s="205"/>
      <c r="E310" s="206"/>
      <c r="F310" s="205"/>
      <c r="G310" s="206"/>
      <c r="H310" s="205"/>
      <c r="I310" s="206"/>
      <c r="J310" s="205"/>
      <c r="K310" s="206"/>
      <c r="L310" s="205"/>
      <c r="M310" s="206"/>
      <c r="N310" s="205"/>
      <c r="O310" s="206"/>
    </row>
    <row r="311" spans="4:15" s="112" customFormat="1" ht="12.75">
      <c r="D311" s="205"/>
      <c r="E311" s="206"/>
      <c r="F311" s="205"/>
      <c r="G311" s="206"/>
      <c r="H311" s="205"/>
      <c r="I311" s="206"/>
      <c r="J311" s="205"/>
      <c r="K311" s="206"/>
      <c r="L311" s="205"/>
      <c r="M311" s="206"/>
      <c r="N311" s="205"/>
      <c r="O311" s="206"/>
    </row>
    <row r="312" spans="4:15" s="112" customFormat="1" ht="12.75">
      <c r="D312" s="205"/>
      <c r="E312" s="206"/>
      <c r="F312" s="205"/>
      <c r="G312" s="206"/>
      <c r="H312" s="205"/>
      <c r="I312" s="206"/>
      <c r="J312" s="205"/>
      <c r="K312" s="206"/>
      <c r="L312" s="205"/>
      <c r="M312" s="206"/>
      <c r="N312" s="205"/>
      <c r="O312" s="206"/>
    </row>
    <row r="313" spans="4:15" s="112" customFormat="1" ht="12.75">
      <c r="D313" s="205"/>
      <c r="E313" s="206"/>
      <c r="F313" s="205"/>
      <c r="G313" s="206"/>
      <c r="H313" s="205"/>
      <c r="I313" s="206"/>
      <c r="J313" s="205"/>
      <c r="K313" s="206"/>
      <c r="L313" s="205"/>
      <c r="M313" s="206"/>
      <c r="N313" s="205"/>
      <c r="O313" s="206"/>
    </row>
    <row r="314" spans="4:15" s="112" customFormat="1" ht="12.75">
      <c r="D314" s="205"/>
      <c r="E314" s="206"/>
      <c r="F314" s="205"/>
      <c r="G314" s="206"/>
      <c r="H314" s="205"/>
      <c r="I314" s="206"/>
      <c r="J314" s="205"/>
      <c r="K314" s="206"/>
      <c r="L314" s="205"/>
      <c r="M314" s="206"/>
      <c r="N314" s="205"/>
      <c r="O314" s="206"/>
    </row>
    <row r="315" spans="4:15" s="112" customFormat="1" ht="12.75">
      <c r="D315" s="205"/>
      <c r="E315" s="206"/>
      <c r="F315" s="205"/>
      <c r="G315" s="206"/>
      <c r="H315" s="205"/>
      <c r="I315" s="206"/>
      <c r="J315" s="205"/>
      <c r="K315" s="206"/>
      <c r="L315" s="205"/>
      <c r="M315" s="206"/>
      <c r="N315" s="205"/>
      <c r="O315" s="206"/>
    </row>
    <row r="316" spans="4:15" s="112" customFormat="1" ht="12.75">
      <c r="D316" s="205"/>
      <c r="E316" s="206"/>
      <c r="F316" s="205"/>
      <c r="G316" s="206"/>
      <c r="H316" s="205"/>
      <c r="I316" s="206"/>
      <c r="J316" s="205"/>
      <c r="K316" s="206"/>
      <c r="L316" s="205"/>
      <c r="M316" s="206"/>
      <c r="N316" s="205"/>
      <c r="O316" s="206"/>
    </row>
    <row r="317" spans="4:15" s="112" customFormat="1" ht="12.75">
      <c r="D317" s="205"/>
      <c r="E317" s="206"/>
      <c r="F317" s="205"/>
      <c r="G317" s="206"/>
      <c r="H317" s="205"/>
      <c r="I317" s="206"/>
      <c r="J317" s="205"/>
      <c r="K317" s="206"/>
      <c r="L317" s="205"/>
      <c r="M317" s="206"/>
      <c r="N317" s="205"/>
      <c r="O317" s="206"/>
    </row>
    <row r="318" spans="4:15" s="112" customFormat="1" ht="12.75">
      <c r="D318" s="205"/>
      <c r="E318" s="206"/>
      <c r="F318" s="205"/>
      <c r="G318" s="206"/>
      <c r="H318" s="205"/>
      <c r="I318" s="206"/>
      <c r="J318" s="205"/>
      <c r="K318" s="206"/>
      <c r="L318" s="205"/>
      <c r="M318" s="206"/>
      <c r="N318" s="205"/>
      <c r="O318" s="206"/>
    </row>
    <row r="319" spans="4:15" s="112" customFormat="1" ht="12.75">
      <c r="D319" s="205"/>
      <c r="E319" s="206"/>
      <c r="F319" s="205"/>
      <c r="G319" s="206"/>
      <c r="H319" s="205"/>
      <c r="I319" s="206"/>
      <c r="J319" s="205"/>
      <c r="K319" s="206"/>
      <c r="L319" s="205"/>
      <c r="M319" s="206"/>
      <c r="N319" s="205"/>
      <c r="O319" s="206"/>
    </row>
    <row r="320" spans="4:15" s="112" customFormat="1" ht="12.75">
      <c r="D320" s="205"/>
      <c r="E320" s="206"/>
      <c r="F320" s="205"/>
      <c r="G320" s="206"/>
      <c r="H320" s="205"/>
      <c r="I320" s="206"/>
      <c r="J320" s="205"/>
      <c r="K320" s="206"/>
      <c r="L320" s="205"/>
      <c r="M320" s="206"/>
      <c r="N320" s="205"/>
      <c r="O320" s="206"/>
    </row>
    <row r="321" spans="4:15" s="112" customFormat="1" ht="12.75">
      <c r="D321" s="205"/>
      <c r="E321" s="206"/>
      <c r="F321" s="205"/>
      <c r="G321" s="206"/>
      <c r="H321" s="205"/>
      <c r="I321" s="206"/>
      <c r="J321" s="205"/>
      <c r="K321" s="206"/>
      <c r="L321" s="205"/>
      <c r="M321" s="206"/>
      <c r="N321" s="205"/>
      <c r="O321" s="206"/>
    </row>
    <row r="322" spans="4:15" s="112" customFormat="1" ht="12.75">
      <c r="D322" s="205"/>
      <c r="E322" s="206"/>
      <c r="F322" s="205"/>
      <c r="G322" s="206"/>
      <c r="H322" s="205"/>
      <c r="I322" s="206"/>
      <c r="J322" s="205"/>
      <c r="K322" s="206"/>
      <c r="L322" s="205"/>
      <c r="M322" s="206"/>
      <c r="N322" s="205"/>
      <c r="O322" s="206"/>
    </row>
    <row r="323" spans="4:15" s="112" customFormat="1" ht="12.75">
      <c r="D323" s="205"/>
      <c r="E323" s="206"/>
      <c r="F323" s="205"/>
      <c r="G323" s="206"/>
      <c r="H323" s="205"/>
      <c r="I323" s="206"/>
      <c r="J323" s="205"/>
      <c r="K323" s="206"/>
      <c r="L323" s="205"/>
      <c r="M323" s="206"/>
      <c r="N323" s="205"/>
      <c r="O323" s="206"/>
    </row>
    <row r="324" spans="4:15" s="112" customFormat="1" ht="12.75">
      <c r="D324" s="205"/>
      <c r="E324" s="206"/>
      <c r="F324" s="205"/>
      <c r="G324" s="206"/>
      <c r="H324" s="205"/>
      <c r="I324" s="206"/>
      <c r="J324" s="205"/>
      <c r="K324" s="206"/>
      <c r="L324" s="205"/>
      <c r="M324" s="206"/>
      <c r="N324" s="205"/>
      <c r="O324" s="206"/>
    </row>
    <row r="325" spans="4:15" s="112" customFormat="1" ht="12.75">
      <c r="D325" s="205"/>
      <c r="E325" s="206"/>
      <c r="F325" s="205"/>
      <c r="G325" s="206"/>
      <c r="H325" s="205"/>
      <c r="I325" s="206"/>
      <c r="J325" s="205"/>
      <c r="K325" s="206"/>
      <c r="L325" s="205"/>
      <c r="M325" s="206"/>
      <c r="N325" s="205"/>
      <c r="O325" s="206"/>
    </row>
    <row r="326" spans="4:15" s="112" customFormat="1" ht="12.75">
      <c r="D326" s="205"/>
      <c r="E326" s="206"/>
      <c r="F326" s="205"/>
      <c r="G326" s="206"/>
      <c r="H326" s="205"/>
      <c r="I326" s="206"/>
      <c r="J326" s="205"/>
      <c r="K326" s="206"/>
      <c r="L326" s="205"/>
      <c r="M326" s="206"/>
      <c r="N326" s="205"/>
      <c r="O326" s="206"/>
    </row>
    <row r="327" spans="4:15" s="112" customFormat="1" ht="12.75">
      <c r="D327" s="205"/>
      <c r="E327" s="206"/>
      <c r="F327" s="205"/>
      <c r="G327" s="206"/>
      <c r="H327" s="205"/>
      <c r="I327" s="206"/>
      <c r="J327" s="205"/>
      <c r="K327" s="206"/>
      <c r="L327" s="205"/>
      <c r="M327" s="206"/>
      <c r="N327" s="205"/>
      <c r="O327" s="206"/>
    </row>
    <row r="328" spans="4:15" s="112" customFormat="1" ht="12.75">
      <c r="D328" s="205"/>
      <c r="E328" s="206"/>
      <c r="F328" s="205"/>
      <c r="G328" s="206"/>
      <c r="H328" s="205"/>
      <c r="I328" s="206"/>
      <c r="J328" s="205"/>
      <c r="K328" s="206"/>
      <c r="L328" s="205"/>
      <c r="M328" s="206"/>
      <c r="N328" s="205"/>
      <c r="O328" s="206"/>
    </row>
    <row r="329" spans="4:15" s="112" customFormat="1" ht="12.75">
      <c r="D329" s="205"/>
      <c r="E329" s="206"/>
      <c r="F329" s="205"/>
      <c r="G329" s="206"/>
      <c r="H329" s="205"/>
      <c r="I329" s="206"/>
      <c r="J329" s="205"/>
      <c r="K329" s="206"/>
      <c r="L329" s="205"/>
      <c r="M329" s="206"/>
      <c r="N329" s="205"/>
      <c r="O329" s="206"/>
    </row>
    <row r="330" spans="4:15" s="112" customFormat="1" ht="12.75">
      <c r="D330" s="205"/>
      <c r="E330" s="206"/>
      <c r="F330" s="205"/>
      <c r="G330" s="206"/>
      <c r="H330" s="205"/>
      <c r="I330" s="206"/>
      <c r="J330" s="205"/>
      <c r="K330" s="206"/>
      <c r="L330" s="205"/>
      <c r="M330" s="206"/>
      <c r="N330" s="205"/>
      <c r="O330" s="206"/>
    </row>
    <row r="331" spans="4:15" s="112" customFormat="1" ht="12.75">
      <c r="D331" s="205"/>
      <c r="E331" s="206"/>
      <c r="F331" s="205"/>
      <c r="G331" s="206"/>
      <c r="H331" s="205"/>
      <c r="I331" s="206"/>
      <c r="J331" s="205"/>
      <c r="K331" s="206"/>
      <c r="L331" s="205"/>
      <c r="M331" s="206"/>
      <c r="N331" s="205"/>
      <c r="O331" s="206"/>
    </row>
    <row r="332" spans="4:15" s="112" customFormat="1" ht="12.75">
      <c r="D332" s="205"/>
      <c r="E332" s="206"/>
      <c r="F332" s="205"/>
      <c r="G332" s="206"/>
      <c r="H332" s="205"/>
      <c r="I332" s="206"/>
      <c r="J332" s="205"/>
      <c r="K332" s="206"/>
      <c r="L332" s="205"/>
      <c r="M332" s="206"/>
      <c r="N332" s="205"/>
      <c r="O332" s="206"/>
    </row>
    <row r="333" spans="4:15" s="112" customFormat="1" ht="12.75">
      <c r="D333" s="205"/>
      <c r="E333" s="206"/>
      <c r="F333" s="205"/>
      <c r="G333" s="206"/>
      <c r="H333" s="205"/>
      <c r="I333" s="206"/>
      <c r="J333" s="205"/>
      <c r="K333" s="206"/>
      <c r="L333" s="205"/>
      <c r="M333" s="206"/>
      <c r="N333" s="205"/>
      <c r="O333" s="206"/>
    </row>
    <row r="334" spans="4:15" s="112" customFormat="1" ht="12.75">
      <c r="D334" s="205"/>
      <c r="E334" s="206"/>
      <c r="F334" s="205"/>
      <c r="G334" s="206"/>
      <c r="H334" s="205"/>
      <c r="I334" s="206"/>
      <c r="J334" s="205"/>
      <c r="K334" s="206"/>
      <c r="L334" s="205"/>
      <c r="M334" s="206"/>
      <c r="N334" s="205"/>
      <c r="O334" s="206"/>
    </row>
    <row r="335" spans="4:15" s="112" customFormat="1" ht="12.75">
      <c r="D335" s="205"/>
      <c r="E335" s="206"/>
      <c r="F335" s="205"/>
      <c r="G335" s="206"/>
      <c r="H335" s="205"/>
      <c r="I335" s="206"/>
      <c r="J335" s="205"/>
      <c r="K335" s="206"/>
      <c r="L335" s="205"/>
      <c r="M335" s="206"/>
      <c r="N335" s="205"/>
      <c r="O335" s="206"/>
    </row>
    <row r="336" spans="4:15" s="112" customFormat="1" ht="12.75">
      <c r="D336" s="205"/>
      <c r="E336" s="206"/>
      <c r="F336" s="205"/>
      <c r="G336" s="206"/>
      <c r="H336" s="205"/>
      <c r="I336" s="206"/>
      <c r="J336" s="205"/>
      <c r="K336" s="206"/>
      <c r="L336" s="205"/>
      <c r="M336" s="206"/>
      <c r="N336" s="205"/>
      <c r="O336" s="206"/>
    </row>
    <row r="337" spans="4:15" s="112" customFormat="1" ht="12.75">
      <c r="D337" s="205"/>
      <c r="E337" s="206"/>
      <c r="F337" s="205"/>
      <c r="G337" s="206"/>
      <c r="H337" s="205"/>
      <c r="I337" s="206"/>
      <c r="J337" s="205"/>
      <c r="K337" s="206"/>
      <c r="L337" s="205"/>
      <c r="M337" s="206"/>
      <c r="N337" s="205"/>
      <c r="O337" s="206"/>
    </row>
    <row r="338" spans="4:15" s="112" customFormat="1" ht="12.75">
      <c r="D338" s="205"/>
      <c r="E338" s="206"/>
      <c r="F338" s="205"/>
      <c r="G338" s="206"/>
      <c r="H338" s="205"/>
      <c r="I338" s="206"/>
      <c r="J338" s="205"/>
      <c r="K338" s="206"/>
      <c r="L338" s="205"/>
      <c r="M338" s="206"/>
      <c r="N338" s="205"/>
      <c r="O338" s="206"/>
    </row>
    <row r="339" spans="4:15" s="112" customFormat="1" ht="12.75">
      <c r="D339" s="205"/>
      <c r="E339" s="206"/>
      <c r="F339" s="205"/>
      <c r="G339" s="206"/>
      <c r="H339" s="205"/>
      <c r="I339" s="206"/>
      <c r="J339" s="205"/>
      <c r="K339" s="206"/>
      <c r="L339" s="205"/>
      <c r="M339" s="206"/>
      <c r="N339" s="205"/>
      <c r="O339" s="206"/>
    </row>
    <row r="340" spans="4:15" s="112" customFormat="1" ht="12.75">
      <c r="D340" s="205"/>
      <c r="E340" s="206"/>
      <c r="F340" s="205"/>
      <c r="G340" s="206"/>
      <c r="H340" s="205"/>
      <c r="I340" s="206"/>
      <c r="J340" s="205"/>
      <c r="K340" s="206"/>
      <c r="L340" s="205"/>
      <c r="M340" s="206"/>
      <c r="N340" s="205"/>
      <c r="O340" s="206"/>
    </row>
    <row r="341" spans="4:15" s="112" customFormat="1" ht="12.75">
      <c r="D341" s="205"/>
      <c r="E341" s="206"/>
      <c r="F341" s="205"/>
      <c r="G341" s="206"/>
      <c r="H341" s="205"/>
      <c r="I341" s="206"/>
      <c r="J341" s="205"/>
      <c r="K341" s="206"/>
      <c r="L341" s="205"/>
      <c r="M341" s="206"/>
      <c r="N341" s="205"/>
      <c r="O341" s="206"/>
    </row>
    <row r="342" spans="4:15" s="112" customFormat="1" ht="12.75">
      <c r="D342" s="205"/>
      <c r="E342" s="206"/>
      <c r="F342" s="205"/>
      <c r="G342" s="206"/>
      <c r="H342" s="205"/>
      <c r="I342" s="206"/>
      <c r="J342" s="205"/>
      <c r="K342" s="206"/>
      <c r="L342" s="205"/>
      <c r="M342" s="206"/>
      <c r="N342" s="205"/>
      <c r="O342" s="206"/>
    </row>
    <row r="343" spans="4:15" s="112" customFormat="1" ht="12.75">
      <c r="D343" s="205"/>
      <c r="E343" s="206"/>
      <c r="F343" s="205"/>
      <c r="G343" s="206"/>
      <c r="H343" s="205"/>
      <c r="I343" s="206"/>
      <c r="J343" s="205"/>
      <c r="K343" s="206"/>
      <c r="L343" s="205"/>
      <c r="M343" s="206"/>
      <c r="N343" s="205"/>
      <c r="O343" s="206"/>
    </row>
    <row r="344" spans="4:15" s="112" customFormat="1" ht="12.75">
      <c r="D344" s="205"/>
      <c r="E344" s="206"/>
      <c r="F344" s="205"/>
      <c r="G344" s="206"/>
      <c r="H344" s="205"/>
      <c r="I344" s="206"/>
      <c r="J344" s="205"/>
      <c r="K344" s="206"/>
      <c r="L344" s="205"/>
      <c r="M344" s="206"/>
      <c r="N344" s="205"/>
      <c r="O344" s="206"/>
    </row>
    <row r="345" spans="4:15" s="112" customFormat="1" ht="12.75">
      <c r="D345" s="205"/>
      <c r="E345" s="206"/>
      <c r="F345" s="205"/>
      <c r="G345" s="206"/>
      <c r="H345" s="205"/>
      <c r="I345" s="206"/>
      <c r="J345" s="205"/>
      <c r="K345" s="206"/>
      <c r="L345" s="205"/>
      <c r="M345" s="206"/>
      <c r="N345" s="205"/>
      <c r="O345" s="206"/>
    </row>
    <row r="346" spans="4:15" s="112" customFormat="1" ht="12.75">
      <c r="D346" s="205"/>
      <c r="E346" s="206"/>
      <c r="F346" s="205"/>
      <c r="G346" s="206"/>
      <c r="H346" s="205"/>
      <c r="I346" s="206"/>
      <c r="J346" s="205"/>
      <c r="K346" s="206"/>
      <c r="L346" s="205"/>
      <c r="M346" s="206"/>
      <c r="N346" s="205"/>
      <c r="O346" s="206"/>
    </row>
    <row r="347" spans="4:15" s="112" customFormat="1" ht="12.75">
      <c r="D347" s="205"/>
      <c r="E347" s="206"/>
      <c r="F347" s="205"/>
      <c r="G347" s="206"/>
      <c r="H347" s="205"/>
      <c r="I347" s="206"/>
      <c r="J347" s="205"/>
      <c r="K347" s="206"/>
      <c r="L347" s="205"/>
      <c r="M347" s="206"/>
      <c r="N347" s="205"/>
      <c r="O347" s="206"/>
    </row>
    <row r="348" spans="4:15" s="112" customFormat="1" ht="12.75">
      <c r="D348" s="205"/>
      <c r="E348" s="206"/>
      <c r="F348" s="205"/>
      <c r="G348" s="206"/>
      <c r="H348" s="205"/>
      <c r="I348" s="206"/>
      <c r="J348" s="205"/>
      <c r="K348" s="206"/>
      <c r="L348" s="205"/>
      <c r="M348" s="206"/>
      <c r="N348" s="205"/>
      <c r="O348" s="206"/>
    </row>
    <row r="349" spans="4:15" s="112" customFormat="1" ht="12.75">
      <c r="D349" s="205"/>
      <c r="E349" s="206"/>
      <c r="F349" s="205"/>
      <c r="G349" s="206"/>
      <c r="H349" s="205"/>
      <c r="I349" s="206"/>
      <c r="J349" s="205"/>
      <c r="K349" s="206"/>
      <c r="L349" s="205"/>
      <c r="M349" s="206"/>
      <c r="N349" s="205"/>
      <c r="O349" s="206"/>
    </row>
    <row r="350" spans="4:15" s="112" customFormat="1" ht="12.75">
      <c r="D350" s="205"/>
      <c r="E350" s="206"/>
      <c r="F350" s="205"/>
      <c r="G350" s="206"/>
      <c r="H350" s="205"/>
      <c r="I350" s="206"/>
      <c r="J350" s="205"/>
      <c r="K350" s="206"/>
      <c r="L350" s="205"/>
      <c r="M350" s="206"/>
      <c r="N350" s="205"/>
      <c r="O350" s="206"/>
    </row>
    <row r="351" spans="4:15" s="112" customFormat="1" ht="12.75">
      <c r="D351" s="205"/>
      <c r="E351" s="206"/>
      <c r="F351" s="205"/>
      <c r="G351" s="206"/>
      <c r="H351" s="205"/>
      <c r="I351" s="206"/>
      <c r="J351" s="205"/>
      <c r="K351" s="206"/>
      <c r="L351" s="205"/>
      <c r="M351" s="206"/>
      <c r="N351" s="205"/>
      <c r="O351" s="206"/>
    </row>
    <row r="352" spans="4:15" s="112" customFormat="1" ht="12.75">
      <c r="D352" s="205"/>
      <c r="E352" s="206"/>
      <c r="F352" s="205"/>
      <c r="G352" s="206"/>
      <c r="H352" s="205"/>
      <c r="I352" s="206"/>
      <c r="J352" s="205"/>
      <c r="K352" s="206"/>
      <c r="L352" s="205"/>
      <c r="M352" s="206"/>
      <c r="N352" s="205"/>
      <c r="O352" s="206"/>
    </row>
    <row r="353" spans="4:15" s="112" customFormat="1" ht="12.75">
      <c r="D353" s="205"/>
      <c r="E353" s="206"/>
      <c r="F353" s="205"/>
      <c r="G353" s="206"/>
      <c r="H353" s="205"/>
      <c r="I353" s="206"/>
      <c r="J353" s="205"/>
      <c r="K353" s="206"/>
      <c r="L353" s="205"/>
      <c r="M353" s="206"/>
      <c r="N353" s="205"/>
      <c r="O353" s="206"/>
    </row>
    <row r="354" spans="4:15" s="112" customFormat="1" ht="12.75">
      <c r="D354" s="205"/>
      <c r="E354" s="206"/>
      <c r="F354" s="205"/>
      <c r="G354" s="206"/>
      <c r="H354" s="205"/>
      <c r="I354" s="206"/>
      <c r="J354" s="205"/>
      <c r="K354" s="206"/>
      <c r="L354" s="205"/>
      <c r="M354" s="206"/>
      <c r="N354" s="205"/>
      <c r="O354" s="206"/>
    </row>
    <row r="355" spans="4:15" s="112" customFormat="1" ht="12.75">
      <c r="D355" s="205"/>
      <c r="E355" s="206"/>
      <c r="F355" s="205"/>
      <c r="G355" s="206"/>
      <c r="H355" s="205"/>
      <c r="I355" s="206"/>
      <c r="J355" s="205"/>
      <c r="K355" s="206"/>
      <c r="L355" s="205"/>
      <c r="M355" s="206"/>
      <c r="N355" s="205"/>
      <c r="O355" s="206"/>
    </row>
    <row r="356" spans="4:15" s="112" customFormat="1" ht="12.75">
      <c r="D356" s="205"/>
      <c r="E356" s="206"/>
      <c r="F356" s="205"/>
      <c r="G356" s="206"/>
      <c r="H356" s="205"/>
      <c r="I356" s="206"/>
      <c r="J356" s="205"/>
      <c r="K356" s="206"/>
      <c r="L356" s="205"/>
      <c r="M356" s="206"/>
      <c r="N356" s="205"/>
      <c r="O356" s="206"/>
    </row>
    <row r="357" spans="4:15" s="112" customFormat="1" ht="12.75">
      <c r="D357" s="205"/>
      <c r="E357" s="206"/>
      <c r="F357" s="205"/>
      <c r="G357" s="206"/>
      <c r="H357" s="205"/>
      <c r="I357" s="206"/>
      <c r="J357" s="205"/>
      <c r="K357" s="206"/>
      <c r="L357" s="205"/>
      <c r="M357" s="206"/>
      <c r="N357" s="205"/>
      <c r="O357" s="206"/>
    </row>
    <row r="358" spans="4:15" s="112" customFormat="1" ht="12.75">
      <c r="D358" s="205"/>
      <c r="E358" s="206"/>
      <c r="F358" s="205"/>
      <c r="G358" s="206"/>
      <c r="H358" s="205"/>
      <c r="I358" s="206"/>
      <c r="J358" s="205"/>
      <c r="K358" s="206"/>
      <c r="L358" s="205"/>
      <c r="M358" s="206"/>
      <c r="N358" s="205"/>
      <c r="O358" s="206"/>
    </row>
    <row r="359" spans="4:15" s="112" customFormat="1" ht="12.75">
      <c r="D359" s="205"/>
      <c r="E359" s="206"/>
      <c r="F359" s="205"/>
      <c r="G359" s="206"/>
      <c r="H359" s="205"/>
      <c r="I359" s="206"/>
      <c r="J359" s="205"/>
      <c r="K359" s="206"/>
      <c r="L359" s="205"/>
      <c r="M359" s="206"/>
      <c r="N359" s="205"/>
      <c r="O359" s="206"/>
    </row>
    <row r="360" spans="4:15" s="112" customFormat="1" ht="12.75">
      <c r="D360" s="205"/>
      <c r="E360" s="206"/>
      <c r="F360" s="205"/>
      <c r="G360" s="206"/>
      <c r="H360" s="205"/>
      <c r="I360" s="206"/>
      <c r="J360" s="205"/>
      <c r="K360" s="206"/>
      <c r="L360" s="205"/>
      <c r="M360" s="206"/>
      <c r="N360" s="205"/>
      <c r="O360" s="206"/>
    </row>
    <row r="361" spans="4:15" s="112" customFormat="1" ht="12.75">
      <c r="D361" s="205"/>
      <c r="E361" s="206"/>
      <c r="F361" s="205"/>
      <c r="G361" s="206"/>
      <c r="H361" s="205"/>
      <c r="I361" s="206"/>
      <c r="J361" s="205"/>
      <c r="K361" s="206"/>
      <c r="L361" s="205"/>
      <c r="M361" s="206"/>
      <c r="N361" s="205"/>
      <c r="O361" s="206"/>
    </row>
    <row r="362" spans="4:15" s="112" customFormat="1" ht="12.75">
      <c r="D362" s="205"/>
      <c r="E362" s="206"/>
      <c r="F362" s="205"/>
      <c r="G362" s="206"/>
      <c r="H362" s="205"/>
      <c r="I362" s="206"/>
      <c r="J362" s="205"/>
      <c r="K362" s="206"/>
      <c r="L362" s="205"/>
      <c r="M362" s="206"/>
      <c r="N362" s="205"/>
      <c r="O362" s="206"/>
    </row>
    <row r="363" spans="4:15" s="112" customFormat="1" ht="12.75">
      <c r="D363" s="205"/>
      <c r="E363" s="206"/>
      <c r="F363" s="205"/>
      <c r="G363" s="206"/>
      <c r="H363" s="205"/>
      <c r="I363" s="206"/>
      <c r="J363" s="205"/>
      <c r="K363" s="206"/>
      <c r="L363" s="205"/>
      <c r="M363" s="206"/>
      <c r="N363" s="205"/>
      <c r="O363" s="206"/>
    </row>
    <row r="364" spans="4:15" s="112" customFormat="1" ht="12.75">
      <c r="D364" s="205"/>
      <c r="E364" s="206"/>
      <c r="F364" s="205"/>
      <c r="G364" s="206"/>
      <c r="H364" s="205"/>
      <c r="I364" s="206"/>
      <c r="J364" s="205"/>
      <c r="K364" s="206"/>
      <c r="L364" s="205"/>
      <c r="M364" s="206"/>
      <c r="N364" s="205"/>
      <c r="O364" s="206"/>
    </row>
    <row r="365" spans="4:15" s="112" customFormat="1" ht="12.75">
      <c r="D365" s="205"/>
      <c r="E365" s="206"/>
      <c r="F365" s="205"/>
      <c r="G365" s="206"/>
      <c r="H365" s="205"/>
      <c r="I365" s="206"/>
      <c r="J365" s="205"/>
      <c r="K365" s="206"/>
      <c r="L365" s="205"/>
      <c r="M365" s="206"/>
      <c r="N365" s="205"/>
      <c r="O365" s="206"/>
    </row>
    <row r="366" spans="4:15" s="112" customFormat="1" ht="12.75">
      <c r="D366" s="205"/>
      <c r="E366" s="206"/>
      <c r="F366" s="205"/>
      <c r="G366" s="206"/>
      <c r="H366" s="205"/>
      <c r="I366" s="206"/>
      <c r="J366" s="205"/>
      <c r="K366" s="206"/>
      <c r="L366" s="205"/>
      <c r="M366" s="206"/>
      <c r="N366" s="205"/>
      <c r="O366" s="206"/>
    </row>
    <row r="367" spans="4:15" s="112" customFormat="1" ht="12.75">
      <c r="D367" s="205"/>
      <c r="E367" s="206"/>
      <c r="F367" s="205"/>
      <c r="G367" s="206"/>
      <c r="H367" s="205"/>
      <c r="I367" s="206"/>
      <c r="J367" s="205"/>
      <c r="K367" s="206"/>
      <c r="L367" s="205"/>
      <c r="M367" s="206"/>
      <c r="N367" s="205"/>
      <c r="O367" s="206"/>
    </row>
    <row r="368" spans="4:15" s="112" customFormat="1" ht="12.75">
      <c r="D368" s="205"/>
      <c r="E368" s="206"/>
      <c r="F368" s="205"/>
      <c r="G368" s="206"/>
      <c r="H368" s="205"/>
      <c r="I368" s="206"/>
      <c r="J368" s="205"/>
      <c r="K368" s="206"/>
      <c r="L368" s="205"/>
      <c r="M368" s="206"/>
      <c r="N368" s="205"/>
      <c r="O368" s="206"/>
    </row>
    <row r="369" spans="4:15" s="112" customFormat="1" ht="12.75">
      <c r="D369" s="205"/>
      <c r="E369" s="206"/>
      <c r="F369" s="205"/>
      <c r="G369" s="206"/>
      <c r="H369" s="205"/>
      <c r="I369" s="206"/>
      <c r="J369" s="205"/>
      <c r="K369" s="206"/>
      <c r="L369" s="205"/>
      <c r="M369" s="206"/>
      <c r="N369" s="205"/>
      <c r="O369" s="206"/>
    </row>
    <row r="370" spans="4:15" s="112" customFormat="1" ht="12.75">
      <c r="D370" s="205"/>
      <c r="E370" s="206"/>
      <c r="F370" s="205"/>
      <c r="G370" s="206"/>
      <c r="H370" s="205"/>
      <c r="I370" s="206"/>
      <c r="J370" s="205"/>
      <c r="K370" s="206"/>
      <c r="L370" s="205"/>
      <c r="M370" s="206"/>
      <c r="N370" s="205"/>
      <c r="O370" s="206"/>
    </row>
    <row r="371" spans="4:15" s="112" customFormat="1" ht="12.75">
      <c r="D371" s="205"/>
      <c r="E371" s="206"/>
      <c r="F371" s="205"/>
      <c r="G371" s="206"/>
      <c r="H371" s="205"/>
      <c r="I371" s="206"/>
      <c r="J371" s="205"/>
      <c r="K371" s="206"/>
      <c r="L371" s="205"/>
      <c r="M371" s="206"/>
      <c r="N371" s="205"/>
      <c r="O371" s="206"/>
    </row>
    <row r="372" spans="4:15" s="112" customFormat="1" ht="12.75">
      <c r="D372" s="205"/>
      <c r="E372" s="206"/>
      <c r="F372" s="205"/>
      <c r="G372" s="206"/>
      <c r="H372" s="205"/>
      <c r="I372" s="206"/>
      <c r="J372" s="205"/>
      <c r="K372" s="206"/>
      <c r="L372" s="205"/>
      <c r="M372" s="206"/>
      <c r="N372" s="205"/>
      <c r="O372" s="206"/>
    </row>
    <row r="373" spans="4:15" s="112" customFormat="1" ht="12.75">
      <c r="D373" s="205"/>
      <c r="E373" s="206"/>
      <c r="F373" s="205"/>
      <c r="G373" s="206"/>
      <c r="H373" s="205"/>
      <c r="I373" s="206"/>
      <c r="J373" s="205"/>
      <c r="K373" s="206"/>
      <c r="L373" s="205"/>
      <c r="M373" s="206"/>
      <c r="N373" s="205"/>
      <c r="O373" s="206"/>
    </row>
    <row r="374" spans="4:15" s="112" customFormat="1" ht="12.75">
      <c r="D374" s="205"/>
      <c r="E374" s="206"/>
      <c r="F374" s="205"/>
      <c r="G374" s="206"/>
      <c r="H374" s="205"/>
      <c r="I374" s="206"/>
      <c r="J374" s="205"/>
      <c r="K374" s="206"/>
      <c r="L374" s="205"/>
      <c r="M374" s="206"/>
      <c r="N374" s="205"/>
      <c r="O374" s="206"/>
    </row>
    <row r="375" spans="4:15" s="112" customFormat="1" ht="12.75">
      <c r="D375" s="205"/>
      <c r="E375" s="206"/>
      <c r="F375" s="205"/>
      <c r="G375" s="206"/>
      <c r="H375" s="205"/>
      <c r="I375" s="206"/>
      <c r="J375" s="205"/>
      <c r="K375" s="206"/>
      <c r="L375" s="205"/>
      <c r="M375" s="206"/>
      <c r="N375" s="205"/>
      <c r="O375" s="206"/>
    </row>
    <row r="376" spans="4:15" s="112" customFormat="1" ht="12.75">
      <c r="D376" s="205"/>
      <c r="E376" s="206"/>
      <c r="F376" s="205"/>
      <c r="G376" s="206"/>
      <c r="H376" s="205"/>
      <c r="I376" s="206"/>
      <c r="J376" s="205"/>
      <c r="K376" s="206"/>
      <c r="L376" s="205"/>
      <c r="M376" s="206"/>
      <c r="N376" s="205"/>
      <c r="O376" s="206"/>
    </row>
    <row r="377" spans="4:15" s="112" customFormat="1" ht="12.75">
      <c r="D377" s="205"/>
      <c r="E377" s="206"/>
      <c r="F377" s="205"/>
      <c r="G377" s="206"/>
      <c r="H377" s="205"/>
      <c r="I377" s="206"/>
      <c r="J377" s="205"/>
      <c r="K377" s="206"/>
      <c r="L377" s="205"/>
      <c r="M377" s="206"/>
      <c r="N377" s="205"/>
      <c r="O377" s="206"/>
    </row>
    <row r="378" spans="4:15" s="112" customFormat="1" ht="12.75">
      <c r="D378" s="205"/>
      <c r="E378" s="206"/>
      <c r="F378" s="205"/>
      <c r="G378" s="206"/>
      <c r="H378" s="205"/>
      <c r="I378" s="206"/>
      <c r="J378" s="205"/>
      <c r="K378" s="206"/>
      <c r="L378" s="205"/>
      <c r="M378" s="206"/>
      <c r="N378" s="205"/>
      <c r="O378" s="206"/>
    </row>
    <row r="379" spans="4:15" s="112" customFormat="1" ht="12.75">
      <c r="D379" s="205"/>
      <c r="E379" s="206"/>
      <c r="F379" s="205"/>
      <c r="G379" s="206"/>
      <c r="H379" s="205"/>
      <c r="I379" s="206"/>
      <c r="J379" s="205"/>
      <c r="K379" s="206"/>
      <c r="L379" s="205"/>
      <c r="M379" s="206"/>
      <c r="N379" s="205"/>
      <c r="O379" s="206"/>
    </row>
    <row r="380" spans="4:15" s="112" customFormat="1" ht="12.75">
      <c r="D380" s="205"/>
      <c r="E380" s="206"/>
      <c r="F380" s="205"/>
      <c r="G380" s="206"/>
      <c r="H380" s="205"/>
      <c r="I380" s="206"/>
      <c r="J380" s="205"/>
      <c r="K380" s="206"/>
      <c r="L380" s="205"/>
      <c r="M380" s="206"/>
      <c r="N380" s="205"/>
      <c r="O380" s="206"/>
    </row>
    <row r="381" spans="4:15" s="112" customFormat="1" ht="12.75">
      <c r="D381" s="205"/>
      <c r="E381" s="206"/>
      <c r="F381" s="205"/>
      <c r="G381" s="206"/>
      <c r="H381" s="205"/>
      <c r="I381" s="206"/>
      <c r="J381" s="205"/>
      <c r="K381" s="206"/>
      <c r="L381" s="205"/>
      <c r="M381" s="206"/>
      <c r="N381" s="205"/>
      <c r="O381" s="206"/>
    </row>
    <row r="382" spans="4:15" s="112" customFormat="1" ht="12.75">
      <c r="D382" s="205"/>
      <c r="E382" s="206"/>
      <c r="F382" s="205"/>
      <c r="G382" s="206"/>
      <c r="H382" s="205"/>
      <c r="I382" s="206"/>
      <c r="J382" s="205"/>
      <c r="K382" s="206"/>
      <c r="L382" s="205"/>
      <c r="M382" s="206"/>
      <c r="N382" s="205"/>
      <c r="O382" s="206"/>
    </row>
    <row r="383" spans="4:15" s="112" customFormat="1" ht="12.75">
      <c r="D383" s="205"/>
      <c r="E383" s="206"/>
      <c r="F383" s="205"/>
      <c r="G383" s="206"/>
      <c r="H383" s="205"/>
      <c r="I383" s="206"/>
      <c r="J383" s="205"/>
      <c r="K383" s="206"/>
      <c r="L383" s="205"/>
      <c r="M383" s="206"/>
      <c r="N383" s="205"/>
      <c r="O383" s="206"/>
    </row>
    <row r="384" spans="4:15" s="112" customFormat="1" ht="12.75">
      <c r="D384" s="205"/>
      <c r="E384" s="206"/>
      <c r="F384" s="205"/>
      <c r="G384" s="206"/>
      <c r="H384" s="205"/>
      <c r="I384" s="206"/>
      <c r="J384" s="205"/>
      <c r="K384" s="206"/>
      <c r="L384" s="205"/>
      <c r="M384" s="206"/>
      <c r="N384" s="205"/>
      <c r="O384" s="206"/>
    </row>
    <row r="385" spans="4:15" s="112" customFormat="1" ht="12.75">
      <c r="D385" s="205"/>
      <c r="E385" s="206"/>
      <c r="F385" s="205"/>
      <c r="G385" s="206"/>
      <c r="H385" s="205"/>
      <c r="I385" s="206"/>
      <c r="J385" s="205"/>
      <c r="K385" s="206"/>
      <c r="L385" s="205"/>
      <c r="M385" s="206"/>
      <c r="N385" s="205"/>
      <c r="O385" s="206"/>
    </row>
    <row r="386" spans="4:15" s="112" customFormat="1" ht="12.75">
      <c r="D386" s="205"/>
      <c r="E386" s="206"/>
      <c r="F386" s="205"/>
      <c r="G386" s="206"/>
      <c r="H386" s="205"/>
      <c r="I386" s="206"/>
      <c r="J386" s="205"/>
      <c r="K386" s="206"/>
      <c r="L386" s="205"/>
      <c r="M386" s="206"/>
      <c r="N386" s="205"/>
      <c r="O386" s="206"/>
    </row>
    <row r="387" spans="4:15" s="112" customFormat="1" ht="12.75">
      <c r="D387" s="205"/>
      <c r="E387" s="206"/>
      <c r="F387" s="205"/>
      <c r="G387" s="206"/>
      <c r="H387" s="205"/>
      <c r="I387" s="206"/>
      <c r="J387" s="205"/>
      <c r="K387" s="206"/>
      <c r="L387" s="205"/>
      <c r="M387" s="206"/>
      <c r="N387" s="205"/>
      <c r="O387" s="206"/>
    </row>
    <row r="388" spans="4:15" s="112" customFormat="1" ht="12.75">
      <c r="D388" s="205"/>
      <c r="E388" s="206"/>
      <c r="F388" s="205"/>
      <c r="G388" s="206"/>
      <c r="H388" s="205"/>
      <c r="I388" s="206"/>
      <c r="J388" s="205"/>
      <c r="K388" s="206"/>
      <c r="L388" s="205"/>
      <c r="M388" s="206"/>
      <c r="N388" s="205"/>
      <c r="O388" s="206"/>
    </row>
    <row r="389" spans="4:15" s="112" customFormat="1" ht="12.75">
      <c r="D389" s="205"/>
      <c r="E389" s="206"/>
      <c r="F389" s="205"/>
      <c r="G389" s="206"/>
      <c r="H389" s="205"/>
      <c r="I389" s="206"/>
      <c r="J389" s="205"/>
      <c r="K389" s="206"/>
      <c r="L389" s="205"/>
      <c r="M389" s="206"/>
      <c r="N389" s="205"/>
      <c r="O389" s="206"/>
    </row>
    <row r="390" spans="4:15" s="112" customFormat="1" ht="12.75">
      <c r="D390" s="205"/>
      <c r="E390" s="206"/>
      <c r="F390" s="205"/>
      <c r="G390" s="206"/>
      <c r="H390" s="205"/>
      <c r="I390" s="206"/>
      <c r="J390" s="205"/>
      <c r="K390" s="206"/>
      <c r="L390" s="205"/>
      <c r="M390" s="206"/>
      <c r="N390" s="205"/>
      <c r="O390" s="206"/>
    </row>
    <row r="391" spans="4:15" s="112" customFormat="1" ht="12.75">
      <c r="D391" s="205"/>
      <c r="E391" s="206"/>
      <c r="F391" s="205"/>
      <c r="G391" s="206"/>
      <c r="H391" s="205"/>
      <c r="I391" s="206"/>
      <c r="J391" s="205"/>
      <c r="K391" s="206"/>
      <c r="L391" s="205"/>
      <c r="M391" s="206"/>
      <c r="N391" s="205"/>
      <c r="O391" s="206"/>
    </row>
    <row r="392" spans="4:15" s="112" customFormat="1" ht="12.75">
      <c r="D392" s="205"/>
      <c r="E392" s="206"/>
      <c r="F392" s="205"/>
      <c r="G392" s="206"/>
      <c r="H392" s="205"/>
      <c r="I392" s="206"/>
      <c r="J392" s="205"/>
      <c r="K392" s="206"/>
      <c r="L392" s="205"/>
      <c r="M392" s="206"/>
      <c r="N392" s="205"/>
      <c r="O392" s="206"/>
    </row>
    <row r="393" spans="4:15" s="112" customFormat="1" ht="12.75">
      <c r="D393" s="205"/>
      <c r="E393" s="206"/>
      <c r="F393" s="205"/>
      <c r="G393" s="206"/>
      <c r="H393" s="205"/>
      <c r="I393" s="206"/>
      <c r="J393" s="205"/>
      <c r="K393" s="206"/>
      <c r="L393" s="205"/>
      <c r="M393" s="206"/>
      <c r="N393" s="205"/>
      <c r="O393" s="206"/>
    </row>
    <row r="394" spans="4:15" s="112" customFormat="1" ht="12.75">
      <c r="D394" s="205"/>
      <c r="E394" s="206"/>
      <c r="F394" s="205"/>
      <c r="G394" s="206"/>
      <c r="H394" s="205"/>
      <c r="I394" s="206"/>
      <c r="J394" s="205"/>
      <c r="K394" s="206"/>
      <c r="L394" s="205"/>
      <c r="M394" s="206"/>
      <c r="N394" s="205"/>
      <c r="O394" s="206"/>
    </row>
    <row r="395" spans="4:15" s="112" customFormat="1" ht="12.75">
      <c r="D395" s="205"/>
      <c r="E395" s="206"/>
      <c r="F395" s="205"/>
      <c r="G395" s="206"/>
      <c r="H395" s="205"/>
      <c r="I395" s="206"/>
      <c r="J395" s="205"/>
      <c r="K395" s="206"/>
      <c r="L395" s="205"/>
      <c r="M395" s="206"/>
      <c r="N395" s="205"/>
      <c r="O395" s="206"/>
    </row>
    <row r="396" spans="4:15" s="112" customFormat="1" ht="12.75">
      <c r="D396" s="205"/>
      <c r="E396" s="206"/>
      <c r="F396" s="205"/>
      <c r="G396" s="206"/>
      <c r="H396" s="205"/>
      <c r="I396" s="206"/>
      <c r="J396" s="205"/>
      <c r="K396" s="206"/>
      <c r="L396" s="205"/>
      <c r="M396" s="206"/>
      <c r="N396" s="205"/>
      <c r="O396" s="206"/>
    </row>
    <row r="397" spans="4:15" s="112" customFormat="1" ht="12.75">
      <c r="D397" s="205"/>
      <c r="E397" s="206"/>
      <c r="F397" s="205"/>
      <c r="G397" s="206"/>
      <c r="H397" s="205"/>
      <c r="I397" s="206"/>
      <c r="J397" s="205"/>
      <c r="K397" s="206"/>
      <c r="L397" s="205"/>
      <c r="M397" s="206"/>
      <c r="N397" s="205"/>
      <c r="O397" s="206"/>
    </row>
    <row r="398" spans="4:15" s="112" customFormat="1" ht="12.75">
      <c r="D398" s="205"/>
      <c r="E398" s="206"/>
      <c r="F398" s="205"/>
      <c r="G398" s="206"/>
      <c r="H398" s="205"/>
      <c r="I398" s="206"/>
      <c r="J398" s="205"/>
      <c r="K398" s="206"/>
      <c r="L398" s="205"/>
      <c r="M398" s="206"/>
      <c r="N398" s="205"/>
      <c r="O398" s="206"/>
    </row>
    <row r="399" spans="4:15" s="112" customFormat="1" ht="12.75">
      <c r="D399" s="205"/>
      <c r="E399" s="206"/>
      <c r="F399" s="205"/>
      <c r="G399" s="206"/>
      <c r="H399" s="205"/>
      <c r="I399" s="206"/>
      <c r="J399" s="205"/>
      <c r="K399" s="206"/>
      <c r="L399" s="205"/>
      <c r="M399" s="206"/>
      <c r="N399" s="205"/>
      <c r="O399" s="206"/>
    </row>
    <row r="400" spans="4:15" s="112" customFormat="1" ht="12.75">
      <c r="D400" s="205"/>
      <c r="E400" s="206"/>
      <c r="F400" s="205"/>
      <c r="G400" s="206"/>
      <c r="H400" s="205"/>
      <c r="I400" s="206"/>
      <c r="J400" s="205"/>
      <c r="K400" s="206"/>
      <c r="L400" s="205"/>
      <c r="M400" s="206"/>
      <c r="N400" s="205"/>
      <c r="O400" s="206"/>
    </row>
    <row r="401" spans="4:15" s="112" customFormat="1" ht="12.75">
      <c r="D401" s="205"/>
      <c r="E401" s="206"/>
      <c r="F401" s="205"/>
      <c r="G401" s="206"/>
      <c r="H401" s="205"/>
      <c r="I401" s="206"/>
      <c r="J401" s="205"/>
      <c r="K401" s="206"/>
      <c r="L401" s="205"/>
      <c r="M401" s="206"/>
      <c r="N401" s="205"/>
      <c r="O401" s="206"/>
    </row>
    <row r="402" spans="4:15" s="112" customFormat="1" ht="12.75">
      <c r="D402" s="205"/>
      <c r="E402" s="206"/>
      <c r="F402" s="205"/>
      <c r="G402" s="206"/>
      <c r="H402" s="205"/>
      <c r="I402" s="206"/>
      <c r="J402" s="205"/>
      <c r="K402" s="206"/>
      <c r="L402" s="205"/>
      <c r="M402" s="206"/>
      <c r="N402" s="205"/>
      <c r="O402" s="206"/>
    </row>
    <row r="403" spans="4:15" s="112" customFormat="1" ht="12.75">
      <c r="D403" s="205"/>
      <c r="E403" s="206"/>
      <c r="F403" s="205"/>
      <c r="G403" s="206"/>
      <c r="H403" s="205"/>
      <c r="I403" s="206"/>
      <c r="J403" s="205"/>
      <c r="K403" s="206"/>
      <c r="L403" s="205"/>
      <c r="M403" s="206"/>
      <c r="N403" s="205"/>
      <c r="O403" s="206"/>
    </row>
    <row r="404" spans="4:15" s="112" customFormat="1" ht="12.75">
      <c r="D404" s="205"/>
      <c r="E404" s="206"/>
      <c r="F404" s="205"/>
      <c r="G404" s="206"/>
      <c r="H404" s="205"/>
      <c r="I404" s="206"/>
      <c r="J404" s="205"/>
      <c r="K404" s="206"/>
      <c r="L404" s="205"/>
      <c r="M404" s="206"/>
      <c r="N404" s="205"/>
      <c r="O404" s="206"/>
    </row>
    <row r="405" spans="4:15" s="112" customFormat="1" ht="12.75">
      <c r="D405" s="205"/>
      <c r="E405" s="206"/>
      <c r="F405" s="205"/>
      <c r="G405" s="206"/>
      <c r="H405" s="205"/>
      <c r="I405" s="206"/>
      <c r="J405" s="205"/>
      <c r="K405" s="206"/>
      <c r="L405" s="205"/>
      <c r="M405" s="206"/>
      <c r="N405" s="205"/>
      <c r="O405" s="206"/>
    </row>
    <row r="406" spans="4:15" s="112" customFormat="1" ht="12.75">
      <c r="D406" s="205"/>
      <c r="E406" s="206"/>
      <c r="F406" s="205"/>
      <c r="G406" s="206"/>
      <c r="H406" s="205"/>
      <c r="I406" s="206"/>
      <c r="J406" s="205"/>
      <c r="K406" s="206"/>
      <c r="L406" s="205"/>
      <c r="M406" s="206"/>
      <c r="N406" s="205"/>
      <c r="O406" s="206"/>
    </row>
    <row r="407" spans="4:15" s="112" customFormat="1" ht="12.75">
      <c r="D407" s="205"/>
      <c r="E407" s="206"/>
      <c r="F407" s="205"/>
      <c r="G407" s="206"/>
      <c r="H407" s="205"/>
      <c r="I407" s="206"/>
      <c r="J407" s="205"/>
      <c r="K407" s="206"/>
      <c r="L407" s="205"/>
      <c r="M407" s="206"/>
      <c r="N407" s="205"/>
      <c r="O407" s="206"/>
    </row>
    <row r="408" spans="4:15" s="112" customFormat="1" ht="12.75">
      <c r="D408" s="205"/>
      <c r="E408" s="206"/>
      <c r="F408" s="205"/>
      <c r="G408" s="206"/>
      <c r="H408" s="205"/>
      <c r="I408" s="206"/>
      <c r="J408" s="205"/>
      <c r="K408" s="206"/>
      <c r="L408" s="205"/>
      <c r="M408" s="206"/>
      <c r="N408" s="205"/>
      <c r="O408" s="206"/>
    </row>
    <row r="409" spans="4:15" s="112" customFormat="1" ht="12.75">
      <c r="D409" s="205"/>
      <c r="E409" s="206"/>
      <c r="F409" s="205"/>
      <c r="G409" s="206"/>
      <c r="H409" s="205"/>
      <c r="I409" s="206"/>
      <c r="J409" s="205"/>
      <c r="K409" s="206"/>
      <c r="L409" s="205"/>
      <c r="M409" s="206"/>
      <c r="N409" s="205"/>
      <c r="O409" s="206"/>
    </row>
    <row r="410" spans="4:15" s="112" customFormat="1" ht="12.75">
      <c r="D410" s="205"/>
      <c r="E410" s="206"/>
      <c r="F410" s="205"/>
      <c r="G410" s="206"/>
      <c r="H410" s="205"/>
      <c r="I410" s="206"/>
      <c r="J410" s="205"/>
      <c r="K410" s="206"/>
      <c r="L410" s="205"/>
      <c r="M410" s="206"/>
      <c r="N410" s="205"/>
      <c r="O410" s="206"/>
    </row>
    <row r="411" spans="4:15" s="112" customFormat="1" ht="12.75">
      <c r="D411" s="205"/>
      <c r="E411" s="206"/>
      <c r="F411" s="205"/>
      <c r="G411" s="206"/>
      <c r="H411" s="205"/>
      <c r="I411" s="206"/>
      <c r="J411" s="205"/>
      <c r="K411" s="206"/>
      <c r="L411" s="205"/>
      <c r="M411" s="206"/>
      <c r="N411" s="205"/>
      <c r="O411" s="206"/>
    </row>
    <row r="412" spans="4:15" s="112" customFormat="1" ht="12.75">
      <c r="D412" s="205"/>
      <c r="E412" s="206"/>
      <c r="F412" s="205"/>
      <c r="G412" s="206"/>
      <c r="H412" s="205"/>
      <c r="I412" s="206"/>
      <c r="J412" s="205"/>
      <c r="K412" s="206"/>
      <c r="L412" s="205"/>
      <c r="M412" s="206"/>
      <c r="N412" s="205"/>
      <c r="O412" s="206"/>
    </row>
    <row r="413" spans="4:15" s="112" customFormat="1" ht="12.75">
      <c r="D413" s="205"/>
      <c r="E413" s="206"/>
      <c r="F413" s="205"/>
      <c r="G413" s="206"/>
      <c r="H413" s="205"/>
      <c r="I413" s="206"/>
      <c r="J413" s="205"/>
      <c r="K413" s="206"/>
      <c r="L413" s="205"/>
      <c r="M413" s="206"/>
      <c r="N413" s="205"/>
      <c r="O413" s="206"/>
    </row>
    <row r="414" spans="4:15" s="112" customFormat="1" ht="12.75">
      <c r="D414" s="205"/>
      <c r="E414" s="206"/>
      <c r="F414" s="205"/>
      <c r="G414" s="206"/>
      <c r="H414" s="205"/>
      <c r="I414" s="206"/>
      <c r="J414" s="205"/>
      <c r="K414" s="206"/>
      <c r="L414" s="205"/>
      <c r="M414" s="206"/>
      <c r="N414" s="205"/>
      <c r="O414" s="206"/>
    </row>
    <row r="415" spans="4:15" s="112" customFormat="1" ht="12.75">
      <c r="D415" s="205"/>
      <c r="E415" s="206"/>
      <c r="F415" s="205"/>
      <c r="G415" s="206"/>
      <c r="H415" s="205"/>
      <c r="I415" s="206"/>
      <c r="J415" s="205"/>
      <c r="K415" s="206"/>
      <c r="L415" s="205"/>
      <c r="M415" s="206"/>
      <c r="N415" s="205"/>
      <c r="O415" s="206"/>
    </row>
    <row r="416" spans="4:15" s="112" customFormat="1" ht="12.75">
      <c r="D416" s="205"/>
      <c r="E416" s="206"/>
      <c r="F416" s="205"/>
      <c r="G416" s="206"/>
      <c r="H416" s="205"/>
      <c r="I416" s="206"/>
      <c r="J416" s="205"/>
      <c r="K416" s="206"/>
      <c r="L416" s="205"/>
      <c r="M416" s="206"/>
      <c r="N416" s="205"/>
      <c r="O416" s="206"/>
    </row>
    <row r="417" spans="4:15" s="112" customFormat="1" ht="12.75">
      <c r="D417" s="205"/>
      <c r="E417" s="206"/>
      <c r="F417" s="205"/>
      <c r="G417" s="206"/>
      <c r="H417" s="205"/>
      <c r="I417" s="206"/>
      <c r="J417" s="205"/>
      <c r="K417" s="206"/>
      <c r="L417" s="205"/>
      <c r="M417" s="206"/>
      <c r="N417" s="205"/>
      <c r="O417" s="206"/>
    </row>
    <row r="418" spans="4:15" s="112" customFormat="1" ht="12.75">
      <c r="D418" s="205"/>
      <c r="E418" s="206"/>
      <c r="F418" s="205"/>
      <c r="G418" s="206"/>
      <c r="H418" s="205"/>
      <c r="I418" s="206"/>
      <c r="J418" s="205"/>
      <c r="K418" s="206"/>
      <c r="L418" s="205"/>
      <c r="M418" s="206"/>
      <c r="N418" s="205"/>
      <c r="O418" s="206"/>
    </row>
    <row r="419" spans="4:15" s="112" customFormat="1" ht="12.75">
      <c r="D419" s="205"/>
      <c r="E419" s="206"/>
      <c r="F419" s="205"/>
      <c r="G419" s="206"/>
      <c r="H419" s="205"/>
      <c r="I419" s="206"/>
      <c r="J419" s="205"/>
      <c r="K419" s="206"/>
      <c r="L419" s="205"/>
      <c r="M419" s="206"/>
      <c r="N419" s="205"/>
      <c r="O419" s="206"/>
    </row>
    <row r="420" spans="4:15" s="112" customFormat="1" ht="12.75">
      <c r="D420" s="205"/>
      <c r="E420" s="206"/>
      <c r="F420" s="205"/>
      <c r="G420" s="206"/>
      <c r="H420" s="205"/>
      <c r="I420" s="206"/>
      <c r="J420" s="205"/>
      <c r="K420" s="206"/>
      <c r="L420" s="205"/>
      <c r="M420" s="206"/>
      <c r="N420" s="205"/>
      <c r="O420" s="206"/>
    </row>
    <row r="421" spans="4:15" s="112" customFormat="1" ht="12.75">
      <c r="D421" s="205"/>
      <c r="E421" s="206"/>
      <c r="F421" s="205"/>
      <c r="G421" s="206"/>
      <c r="H421" s="205"/>
      <c r="I421" s="206"/>
      <c r="J421" s="205"/>
      <c r="K421" s="206"/>
      <c r="L421" s="205"/>
      <c r="M421" s="206"/>
      <c r="N421" s="205"/>
      <c r="O421" s="206"/>
    </row>
    <row r="422" spans="4:15" s="112" customFormat="1" ht="12.75">
      <c r="D422" s="205"/>
      <c r="E422" s="206"/>
      <c r="F422" s="205"/>
      <c r="G422" s="206"/>
      <c r="H422" s="205"/>
      <c r="I422" s="206"/>
      <c r="J422" s="205"/>
      <c r="K422" s="206"/>
      <c r="L422" s="205"/>
      <c r="M422" s="206"/>
      <c r="N422" s="205"/>
      <c r="O422" s="206"/>
    </row>
    <row r="423" spans="4:15" s="112" customFormat="1" ht="12.75">
      <c r="D423" s="205"/>
      <c r="E423" s="206"/>
      <c r="F423" s="205"/>
      <c r="G423" s="206"/>
      <c r="H423" s="205"/>
      <c r="I423" s="206"/>
      <c r="J423" s="205"/>
      <c r="K423" s="206"/>
      <c r="L423" s="205"/>
      <c r="M423" s="206"/>
      <c r="N423" s="205"/>
      <c r="O423" s="206"/>
    </row>
    <row r="424" spans="4:15" s="112" customFormat="1" ht="12.75">
      <c r="D424" s="205"/>
      <c r="E424" s="206"/>
      <c r="F424" s="205"/>
      <c r="G424" s="206"/>
      <c r="H424" s="205"/>
      <c r="I424" s="206"/>
      <c r="J424" s="205"/>
      <c r="K424" s="206"/>
      <c r="L424" s="205"/>
      <c r="M424" s="206"/>
      <c r="N424" s="205"/>
      <c r="O424" s="206"/>
    </row>
    <row r="425" spans="4:15" s="112" customFormat="1" ht="12.75">
      <c r="D425" s="205"/>
      <c r="E425" s="206"/>
      <c r="F425" s="205"/>
      <c r="G425" s="206"/>
      <c r="H425" s="205"/>
      <c r="I425" s="206"/>
      <c r="J425" s="205"/>
      <c r="K425" s="206"/>
      <c r="L425" s="205"/>
      <c r="M425" s="206"/>
      <c r="N425" s="205"/>
      <c r="O425" s="206"/>
    </row>
    <row r="426" spans="4:15" s="112" customFormat="1" ht="12.75">
      <c r="D426" s="205"/>
      <c r="E426" s="206"/>
      <c r="F426" s="205"/>
      <c r="G426" s="206"/>
      <c r="H426" s="205"/>
      <c r="I426" s="206"/>
      <c r="J426" s="205"/>
      <c r="K426" s="206"/>
      <c r="L426" s="205"/>
      <c r="M426" s="206"/>
      <c r="N426" s="205"/>
      <c r="O426" s="206"/>
    </row>
    <row r="427" spans="4:15" s="112" customFormat="1" ht="12.75">
      <c r="D427" s="205"/>
      <c r="E427" s="206"/>
      <c r="F427" s="205"/>
      <c r="G427" s="206"/>
      <c r="H427" s="205"/>
      <c r="I427" s="206"/>
      <c r="J427" s="205"/>
      <c r="K427" s="206"/>
      <c r="L427" s="205"/>
      <c r="M427" s="206"/>
      <c r="N427" s="205"/>
      <c r="O427" s="206"/>
    </row>
    <row r="428" spans="4:15" s="112" customFormat="1" ht="12.75">
      <c r="D428" s="205"/>
      <c r="E428" s="206"/>
      <c r="F428" s="205"/>
      <c r="G428" s="206"/>
      <c r="H428" s="205"/>
      <c r="I428" s="206"/>
      <c r="J428" s="205"/>
      <c r="K428" s="206"/>
      <c r="L428" s="205"/>
      <c r="M428" s="206"/>
      <c r="N428" s="205"/>
      <c r="O428" s="206"/>
    </row>
    <row r="429" spans="4:15" s="112" customFormat="1" ht="12.75">
      <c r="D429" s="205"/>
      <c r="E429" s="206"/>
      <c r="F429" s="205"/>
      <c r="G429" s="206"/>
      <c r="H429" s="205"/>
      <c r="I429" s="206"/>
      <c r="J429" s="205"/>
      <c r="K429" s="206"/>
      <c r="L429" s="205"/>
      <c r="M429" s="206"/>
      <c r="N429" s="205"/>
      <c r="O429" s="206"/>
    </row>
    <row r="430" spans="4:15" s="112" customFormat="1" ht="12.75">
      <c r="D430" s="205"/>
      <c r="E430" s="206"/>
      <c r="F430" s="205"/>
      <c r="G430" s="206"/>
      <c r="H430" s="205"/>
      <c r="I430" s="206"/>
      <c r="J430" s="205"/>
      <c r="K430" s="206"/>
      <c r="L430" s="205"/>
      <c r="M430" s="206"/>
      <c r="N430" s="205"/>
      <c r="O430" s="206"/>
    </row>
    <row r="431" spans="4:15" s="112" customFormat="1" ht="12.75">
      <c r="D431" s="205"/>
      <c r="E431" s="206"/>
      <c r="F431" s="205"/>
      <c r="G431" s="206"/>
      <c r="H431" s="205"/>
      <c r="I431" s="206"/>
      <c r="J431" s="205"/>
      <c r="K431" s="206"/>
      <c r="L431" s="205"/>
      <c r="M431" s="206"/>
      <c r="N431" s="205"/>
      <c r="O431" s="206"/>
    </row>
    <row r="432" spans="4:15" s="112" customFormat="1" ht="12.75">
      <c r="D432" s="205"/>
      <c r="E432" s="206"/>
      <c r="F432" s="205"/>
      <c r="G432" s="206"/>
      <c r="H432" s="205"/>
      <c r="I432" s="206"/>
      <c r="J432" s="205"/>
      <c r="K432" s="206"/>
      <c r="L432" s="205"/>
      <c r="M432" s="206"/>
      <c r="N432" s="205"/>
      <c r="O432" s="206"/>
    </row>
    <row r="433" spans="4:15" s="112" customFormat="1" ht="12.75">
      <c r="D433" s="205"/>
      <c r="E433" s="206"/>
      <c r="F433" s="205"/>
      <c r="G433" s="206"/>
      <c r="H433" s="205"/>
      <c r="I433" s="206"/>
      <c r="J433" s="205"/>
      <c r="K433" s="206"/>
      <c r="L433" s="205"/>
      <c r="M433" s="206"/>
      <c r="N433" s="205"/>
      <c r="O433" s="206"/>
    </row>
    <row r="434" spans="4:15" s="112" customFormat="1" ht="12.75">
      <c r="D434" s="205"/>
      <c r="E434" s="206"/>
      <c r="F434" s="205"/>
      <c r="G434" s="206"/>
      <c r="H434" s="205"/>
      <c r="I434" s="206"/>
      <c r="J434" s="205"/>
      <c r="K434" s="206"/>
      <c r="L434" s="205"/>
      <c r="M434" s="206"/>
      <c r="N434" s="205"/>
      <c r="O434" s="206"/>
    </row>
    <row r="435" spans="4:15" s="112" customFormat="1" ht="12.75">
      <c r="D435" s="205"/>
      <c r="E435" s="206"/>
      <c r="F435" s="205"/>
      <c r="G435" s="206"/>
      <c r="H435" s="205"/>
      <c r="I435" s="206"/>
      <c r="J435" s="205"/>
      <c r="K435" s="206"/>
      <c r="L435" s="205"/>
      <c r="M435" s="206"/>
      <c r="N435" s="205"/>
      <c r="O435" s="206"/>
    </row>
    <row r="436" spans="4:15" s="112" customFormat="1" ht="12.75">
      <c r="D436" s="205"/>
      <c r="E436" s="206"/>
      <c r="F436" s="205"/>
      <c r="G436" s="206"/>
      <c r="H436" s="205"/>
      <c r="I436" s="206"/>
      <c r="J436" s="205"/>
      <c r="K436" s="206"/>
      <c r="L436" s="205"/>
      <c r="M436" s="206"/>
      <c r="N436" s="205"/>
      <c r="O436" s="206"/>
    </row>
    <row r="437" spans="4:15" s="112" customFormat="1" ht="12.75">
      <c r="D437" s="205"/>
      <c r="E437" s="206"/>
      <c r="F437" s="205"/>
      <c r="G437" s="206"/>
      <c r="H437" s="205"/>
      <c r="I437" s="206"/>
      <c r="J437" s="205"/>
      <c r="K437" s="206"/>
      <c r="L437" s="205"/>
      <c r="M437" s="206"/>
      <c r="N437" s="205"/>
      <c r="O437" s="206"/>
    </row>
    <row r="438" spans="4:15" s="112" customFormat="1" ht="12.75">
      <c r="D438" s="205"/>
      <c r="E438" s="206"/>
      <c r="F438" s="205"/>
      <c r="G438" s="206"/>
      <c r="H438" s="205"/>
      <c r="I438" s="206"/>
      <c r="J438" s="205"/>
      <c r="K438" s="206"/>
      <c r="L438" s="205"/>
      <c r="M438" s="206"/>
      <c r="N438" s="205"/>
      <c r="O438" s="206"/>
    </row>
    <row r="439" spans="4:15" s="112" customFormat="1" ht="12.75">
      <c r="D439" s="205"/>
      <c r="E439" s="206"/>
      <c r="F439" s="205"/>
      <c r="G439" s="206"/>
      <c r="H439" s="205"/>
      <c r="I439" s="206"/>
      <c r="J439" s="205"/>
      <c r="K439" s="206"/>
      <c r="L439" s="205"/>
      <c r="M439" s="206"/>
      <c r="N439" s="205"/>
      <c r="O439" s="206"/>
    </row>
    <row r="440" spans="4:15" s="112" customFormat="1" ht="12.75">
      <c r="D440" s="205"/>
      <c r="E440" s="206"/>
      <c r="F440" s="205"/>
      <c r="G440" s="206"/>
      <c r="H440" s="205"/>
      <c r="I440" s="206"/>
      <c r="J440" s="205"/>
      <c r="K440" s="206"/>
      <c r="L440" s="205"/>
      <c r="M440" s="206"/>
      <c r="N440" s="205"/>
      <c r="O440" s="206"/>
    </row>
    <row r="441" spans="4:15" s="112" customFormat="1" ht="12.75">
      <c r="D441" s="205"/>
      <c r="E441" s="206"/>
      <c r="F441" s="205"/>
      <c r="G441" s="206"/>
      <c r="H441" s="205"/>
      <c r="I441" s="206"/>
      <c r="J441" s="205"/>
      <c r="K441" s="206"/>
      <c r="L441" s="205"/>
      <c r="M441" s="206"/>
      <c r="N441" s="205"/>
      <c r="O441" s="206"/>
    </row>
    <row r="442" spans="4:15" s="112" customFormat="1" ht="12.75">
      <c r="D442" s="205"/>
      <c r="E442" s="206"/>
      <c r="F442" s="205"/>
      <c r="G442" s="206"/>
      <c r="H442" s="205"/>
      <c r="I442" s="206"/>
      <c r="J442" s="205"/>
      <c r="K442" s="206"/>
      <c r="L442" s="205"/>
      <c r="M442" s="206"/>
      <c r="N442" s="205"/>
      <c r="O442" s="206"/>
    </row>
    <row r="443" spans="4:15" s="112" customFormat="1" ht="12.75">
      <c r="D443" s="205"/>
      <c r="E443" s="206"/>
      <c r="F443" s="205"/>
      <c r="G443" s="206"/>
      <c r="H443" s="205"/>
      <c r="I443" s="206"/>
      <c r="J443" s="205"/>
      <c r="K443" s="206"/>
      <c r="L443" s="205"/>
      <c r="M443" s="206"/>
      <c r="N443" s="205"/>
      <c r="O443" s="206"/>
    </row>
    <row r="444" spans="4:15" s="112" customFormat="1" ht="12.75">
      <c r="D444" s="205"/>
      <c r="E444" s="206"/>
      <c r="F444" s="205"/>
      <c r="G444" s="206"/>
      <c r="H444" s="205"/>
      <c r="I444" s="206"/>
      <c r="J444" s="205"/>
      <c r="K444" s="206"/>
      <c r="L444" s="205"/>
      <c r="M444" s="206"/>
      <c r="N444" s="205"/>
      <c r="O444" s="206"/>
    </row>
    <row r="445" spans="4:15" s="112" customFormat="1" ht="12.75">
      <c r="D445" s="205"/>
      <c r="E445" s="206"/>
      <c r="F445" s="205"/>
      <c r="G445" s="206"/>
      <c r="H445" s="205"/>
      <c r="I445" s="206"/>
      <c r="J445" s="205"/>
      <c r="K445" s="206"/>
      <c r="L445" s="205"/>
      <c r="M445" s="206"/>
      <c r="N445" s="205"/>
      <c r="O445" s="206"/>
    </row>
    <row r="446" spans="4:15" s="112" customFormat="1" ht="12.75">
      <c r="D446" s="205"/>
      <c r="E446" s="206"/>
      <c r="F446" s="205"/>
      <c r="G446" s="206"/>
      <c r="H446" s="205"/>
      <c r="I446" s="206"/>
      <c r="J446" s="205"/>
      <c r="K446" s="206"/>
      <c r="L446" s="205"/>
      <c r="M446" s="206"/>
      <c r="N446" s="205"/>
      <c r="O446" s="206"/>
    </row>
    <row r="447" spans="4:15" s="112" customFormat="1" ht="12.75">
      <c r="D447" s="205"/>
      <c r="E447" s="206"/>
      <c r="F447" s="205"/>
      <c r="G447" s="206"/>
      <c r="H447" s="205"/>
      <c r="I447" s="206"/>
      <c r="J447" s="205"/>
      <c r="K447" s="206"/>
      <c r="L447" s="205"/>
      <c r="M447" s="206"/>
      <c r="N447" s="205"/>
      <c r="O447" s="206"/>
    </row>
    <row r="448" spans="4:15" s="112" customFormat="1" ht="12.75">
      <c r="D448" s="205"/>
      <c r="E448" s="206"/>
      <c r="F448" s="205"/>
      <c r="G448" s="206"/>
      <c r="H448" s="205"/>
      <c r="I448" s="206"/>
      <c r="J448" s="205"/>
      <c r="K448" s="206"/>
      <c r="L448" s="205"/>
      <c r="M448" s="206"/>
      <c r="N448" s="205"/>
      <c r="O448" s="206"/>
    </row>
    <row r="449" spans="4:15" s="112" customFormat="1" ht="12.75">
      <c r="D449" s="205"/>
      <c r="E449" s="206"/>
      <c r="F449" s="205"/>
      <c r="G449" s="206"/>
      <c r="H449" s="205"/>
      <c r="I449" s="206"/>
      <c r="J449" s="205"/>
      <c r="K449" s="206"/>
      <c r="L449" s="205"/>
      <c r="M449" s="206"/>
      <c r="N449" s="205"/>
      <c r="O449" s="206"/>
    </row>
    <row r="450" spans="4:15" s="112" customFormat="1" ht="12.75">
      <c r="D450" s="205"/>
      <c r="E450" s="206"/>
      <c r="F450" s="205"/>
      <c r="G450" s="206"/>
      <c r="H450" s="205"/>
      <c r="I450" s="206"/>
      <c r="J450" s="205"/>
      <c r="K450" s="206"/>
      <c r="L450" s="205"/>
      <c r="M450" s="206"/>
      <c r="N450" s="205"/>
      <c r="O450" s="206"/>
    </row>
    <row r="451" spans="4:15" s="112" customFormat="1" ht="12.75">
      <c r="D451" s="205"/>
      <c r="E451" s="206"/>
      <c r="F451" s="205"/>
      <c r="G451" s="206"/>
      <c r="H451" s="205"/>
      <c r="I451" s="206"/>
      <c r="J451" s="205"/>
      <c r="K451" s="206"/>
      <c r="L451" s="205"/>
      <c r="M451" s="206"/>
      <c r="N451" s="205"/>
      <c r="O451" s="206"/>
    </row>
    <row r="452" spans="4:15" s="112" customFormat="1" ht="12.75">
      <c r="D452" s="205"/>
      <c r="E452" s="206"/>
      <c r="F452" s="205"/>
      <c r="G452" s="206"/>
      <c r="H452" s="205"/>
      <c r="I452" s="206"/>
      <c r="J452" s="205"/>
      <c r="K452" s="206"/>
      <c r="L452" s="205"/>
      <c r="M452" s="206"/>
      <c r="N452" s="205"/>
      <c r="O452" s="206"/>
    </row>
    <row r="453" spans="4:15" s="112" customFormat="1" ht="12.75">
      <c r="D453" s="205"/>
      <c r="E453" s="206"/>
      <c r="F453" s="205"/>
      <c r="G453" s="206"/>
      <c r="H453" s="205"/>
      <c r="I453" s="206"/>
      <c r="J453" s="205"/>
      <c r="K453" s="206"/>
      <c r="L453" s="205"/>
      <c r="M453" s="206"/>
      <c r="N453" s="205"/>
      <c r="O453" s="206"/>
    </row>
    <row r="454" spans="4:15" s="112" customFormat="1" ht="12.75">
      <c r="D454" s="205"/>
      <c r="E454" s="206"/>
      <c r="F454" s="205"/>
      <c r="G454" s="206"/>
      <c r="H454" s="205"/>
      <c r="I454" s="206"/>
      <c r="J454" s="205"/>
      <c r="K454" s="206"/>
      <c r="L454" s="205"/>
      <c r="M454" s="206"/>
      <c r="N454" s="205"/>
      <c r="O454" s="206"/>
    </row>
    <row r="455" spans="4:15" s="112" customFormat="1" ht="12.75">
      <c r="D455" s="205"/>
      <c r="E455" s="206"/>
      <c r="F455" s="205"/>
      <c r="G455" s="206"/>
      <c r="H455" s="205"/>
      <c r="I455" s="206"/>
      <c r="J455" s="205"/>
      <c r="K455" s="206"/>
      <c r="L455" s="205"/>
      <c r="M455" s="206"/>
      <c r="N455" s="205"/>
      <c r="O455" s="206"/>
    </row>
    <row r="456" spans="4:15" s="112" customFormat="1" ht="12.75">
      <c r="D456" s="205"/>
      <c r="E456" s="206"/>
      <c r="F456" s="205"/>
      <c r="G456" s="206"/>
      <c r="H456" s="205"/>
      <c r="I456" s="206"/>
      <c r="J456" s="205"/>
      <c r="K456" s="206"/>
      <c r="L456" s="205"/>
      <c r="M456" s="206"/>
      <c r="N456" s="205"/>
      <c r="O456" s="206"/>
    </row>
    <row r="457" spans="4:15" s="112" customFormat="1" ht="12.75">
      <c r="D457" s="205"/>
      <c r="E457" s="206"/>
      <c r="F457" s="205"/>
      <c r="G457" s="206"/>
      <c r="H457" s="205"/>
      <c r="I457" s="206"/>
      <c r="J457" s="205"/>
      <c r="K457" s="206"/>
      <c r="L457" s="205"/>
      <c r="M457" s="206"/>
      <c r="N457" s="205"/>
      <c r="O457" s="206"/>
    </row>
    <row r="458" spans="4:15" s="112" customFormat="1" ht="12.75">
      <c r="D458" s="205"/>
      <c r="E458" s="206"/>
      <c r="F458" s="205"/>
      <c r="G458" s="206"/>
      <c r="H458" s="205"/>
      <c r="I458" s="206"/>
      <c r="J458" s="205"/>
      <c r="K458" s="206"/>
      <c r="L458" s="205"/>
      <c r="M458" s="206"/>
      <c r="N458" s="205"/>
      <c r="O458" s="206"/>
    </row>
    <row r="459" spans="4:15" s="112" customFormat="1" ht="12.75">
      <c r="D459" s="205"/>
      <c r="E459" s="206"/>
      <c r="F459" s="205"/>
      <c r="G459" s="206"/>
      <c r="H459" s="205"/>
      <c r="I459" s="206"/>
      <c r="J459" s="205"/>
      <c r="K459" s="206"/>
      <c r="L459" s="205"/>
      <c r="M459" s="206"/>
      <c r="N459" s="205"/>
      <c r="O459" s="206"/>
    </row>
    <row r="460" spans="4:15" s="112" customFormat="1" ht="12.75">
      <c r="D460" s="205"/>
      <c r="E460" s="206"/>
      <c r="F460" s="205"/>
      <c r="G460" s="206"/>
      <c r="H460" s="205"/>
      <c r="I460" s="206"/>
      <c r="J460" s="205"/>
      <c r="K460" s="206"/>
      <c r="L460" s="205"/>
      <c r="M460" s="206"/>
      <c r="N460" s="205"/>
      <c r="O460" s="206"/>
    </row>
    <row r="461" spans="4:15" s="112" customFormat="1" ht="12.75">
      <c r="D461" s="205"/>
      <c r="E461" s="206"/>
      <c r="F461" s="205"/>
      <c r="G461" s="206"/>
      <c r="H461" s="205"/>
      <c r="I461" s="206"/>
      <c r="J461" s="205"/>
      <c r="K461" s="206"/>
      <c r="L461" s="205"/>
      <c r="M461" s="206"/>
      <c r="N461" s="205"/>
      <c r="O461" s="206"/>
    </row>
    <row r="462" spans="4:15" s="112" customFormat="1" ht="12.75">
      <c r="D462" s="205"/>
      <c r="E462" s="206"/>
      <c r="F462" s="205"/>
      <c r="G462" s="206"/>
      <c r="H462" s="205"/>
      <c r="I462" s="206"/>
      <c r="J462" s="205"/>
      <c r="K462" s="206"/>
      <c r="L462" s="205"/>
      <c r="M462" s="206"/>
      <c r="N462" s="205"/>
      <c r="O462" s="206"/>
    </row>
    <row r="463" spans="4:15" s="112" customFormat="1" ht="12.75">
      <c r="D463" s="205"/>
      <c r="E463" s="206"/>
      <c r="F463" s="205"/>
      <c r="G463" s="206"/>
      <c r="H463" s="205"/>
      <c r="I463" s="206"/>
      <c r="J463" s="205"/>
      <c r="K463" s="206"/>
      <c r="L463" s="205"/>
      <c r="M463" s="206"/>
      <c r="N463" s="205"/>
      <c r="O463" s="206"/>
    </row>
    <row r="464" spans="4:15" s="112" customFormat="1" ht="12.75">
      <c r="D464" s="205"/>
      <c r="E464" s="206"/>
      <c r="F464" s="205"/>
      <c r="G464" s="206"/>
      <c r="H464" s="205"/>
      <c r="I464" s="206"/>
      <c r="J464" s="205"/>
      <c r="K464" s="206"/>
      <c r="L464" s="205"/>
      <c r="M464" s="206"/>
      <c r="N464" s="205"/>
      <c r="O464" s="206"/>
    </row>
    <row r="465" spans="4:15" s="112" customFormat="1" ht="12.75">
      <c r="D465" s="205"/>
      <c r="E465" s="206"/>
      <c r="F465" s="205"/>
      <c r="G465" s="206"/>
      <c r="H465" s="205"/>
      <c r="I465" s="206"/>
      <c r="J465" s="205"/>
      <c r="K465" s="206"/>
      <c r="L465" s="205"/>
      <c r="M465" s="206"/>
      <c r="N465" s="205"/>
      <c r="O465" s="206"/>
    </row>
    <row r="466" spans="4:15" s="112" customFormat="1" ht="12.75">
      <c r="D466" s="205"/>
      <c r="E466" s="206"/>
      <c r="F466" s="205"/>
      <c r="G466" s="206"/>
      <c r="H466" s="205"/>
      <c r="I466" s="206"/>
      <c r="J466" s="205"/>
      <c r="K466" s="206"/>
      <c r="L466" s="205"/>
      <c r="M466" s="206"/>
      <c r="N466" s="205"/>
      <c r="O466" s="206"/>
    </row>
    <row r="467" spans="4:15" s="112" customFormat="1" ht="12.75">
      <c r="D467" s="205"/>
      <c r="E467" s="206"/>
      <c r="F467" s="205"/>
      <c r="G467" s="206"/>
      <c r="H467" s="205"/>
      <c r="I467" s="206"/>
      <c r="J467" s="205"/>
      <c r="K467" s="206"/>
      <c r="L467" s="205"/>
      <c r="M467" s="206"/>
      <c r="N467" s="205"/>
      <c r="O467" s="206"/>
    </row>
    <row r="468" spans="4:15" s="112" customFormat="1" ht="12.75">
      <c r="D468" s="205"/>
      <c r="E468" s="206"/>
      <c r="F468" s="205"/>
      <c r="G468" s="206"/>
      <c r="H468" s="205"/>
      <c r="I468" s="206"/>
      <c r="J468" s="205"/>
      <c r="K468" s="206"/>
      <c r="L468" s="205"/>
      <c r="M468" s="206"/>
      <c r="N468" s="205"/>
      <c r="O468" s="206"/>
    </row>
    <row r="469" spans="4:15" s="112" customFormat="1" ht="12.75">
      <c r="D469" s="205"/>
      <c r="E469" s="206"/>
      <c r="F469" s="205"/>
      <c r="G469" s="206"/>
      <c r="H469" s="205"/>
      <c r="I469" s="206"/>
      <c r="J469" s="205"/>
      <c r="K469" s="206"/>
      <c r="L469" s="205"/>
      <c r="M469" s="206"/>
      <c r="N469" s="205"/>
      <c r="O469" s="206"/>
    </row>
    <row r="470" spans="4:15" s="112" customFormat="1" ht="12.75">
      <c r="D470" s="205"/>
      <c r="E470" s="206"/>
      <c r="F470" s="205"/>
      <c r="G470" s="206"/>
      <c r="H470" s="205"/>
      <c r="I470" s="206"/>
      <c r="J470" s="205"/>
      <c r="K470" s="206"/>
      <c r="L470" s="205"/>
      <c r="M470" s="206"/>
      <c r="N470" s="205"/>
      <c r="O470" s="206"/>
    </row>
    <row r="471" spans="4:15" s="112" customFormat="1" ht="12.75">
      <c r="D471" s="205"/>
      <c r="E471" s="206"/>
      <c r="F471" s="205"/>
      <c r="G471" s="206"/>
      <c r="H471" s="205"/>
      <c r="I471" s="206"/>
      <c r="J471" s="205"/>
      <c r="K471" s="206"/>
      <c r="L471" s="205"/>
      <c r="M471" s="206"/>
      <c r="N471" s="205"/>
      <c r="O471" s="206"/>
    </row>
    <row r="472" spans="4:15" s="112" customFormat="1" ht="12.75">
      <c r="D472" s="205"/>
      <c r="E472" s="206"/>
      <c r="F472" s="205"/>
      <c r="G472" s="206"/>
      <c r="H472" s="205"/>
      <c r="I472" s="206"/>
      <c r="J472" s="205"/>
      <c r="K472" s="206"/>
      <c r="L472" s="205"/>
      <c r="M472" s="206"/>
      <c r="N472" s="205"/>
      <c r="O472" s="206"/>
    </row>
    <row r="473" spans="4:15" s="112" customFormat="1" ht="12.75">
      <c r="D473" s="205"/>
      <c r="E473" s="206"/>
      <c r="F473" s="205"/>
      <c r="G473" s="206"/>
      <c r="H473" s="205"/>
      <c r="I473" s="206"/>
      <c r="J473" s="205"/>
      <c r="K473" s="206"/>
      <c r="L473" s="205"/>
      <c r="M473" s="206"/>
      <c r="N473" s="205"/>
      <c r="O473" s="206"/>
    </row>
    <row r="474" spans="4:15" s="112" customFormat="1" ht="12.75">
      <c r="D474" s="205"/>
      <c r="E474" s="206"/>
      <c r="F474" s="205"/>
      <c r="G474" s="206"/>
      <c r="H474" s="205"/>
      <c r="I474" s="206"/>
      <c r="J474" s="205"/>
      <c r="K474" s="206"/>
      <c r="L474" s="205"/>
      <c r="M474" s="206"/>
      <c r="N474" s="205"/>
      <c r="O474" s="206"/>
    </row>
    <row r="475" spans="4:15" s="112" customFormat="1" ht="12.75">
      <c r="D475" s="205"/>
      <c r="E475" s="206"/>
      <c r="F475" s="205"/>
      <c r="G475" s="206"/>
      <c r="H475" s="205"/>
      <c r="I475" s="206"/>
      <c r="J475" s="205"/>
      <c r="K475" s="206"/>
      <c r="L475" s="205"/>
      <c r="M475" s="206"/>
      <c r="N475" s="205"/>
      <c r="O475" s="206"/>
    </row>
    <row r="476" spans="4:15" s="112" customFormat="1" ht="12.75">
      <c r="D476" s="205"/>
      <c r="E476" s="206"/>
      <c r="F476" s="205"/>
      <c r="G476" s="206"/>
      <c r="H476" s="205"/>
      <c r="I476" s="206"/>
      <c r="J476" s="205"/>
      <c r="K476" s="206"/>
      <c r="L476" s="205"/>
      <c r="M476" s="206"/>
      <c r="N476" s="205"/>
      <c r="O476" s="206"/>
    </row>
    <row r="477" spans="4:15" s="112" customFormat="1" ht="12.75">
      <c r="D477" s="205"/>
      <c r="E477" s="206"/>
      <c r="F477" s="205"/>
      <c r="G477" s="206"/>
      <c r="H477" s="205"/>
      <c r="I477" s="206"/>
      <c r="J477" s="205"/>
      <c r="K477" s="206"/>
      <c r="L477" s="205"/>
      <c r="M477" s="206"/>
      <c r="N477" s="205"/>
      <c r="O477" s="206"/>
    </row>
    <row r="478" spans="4:15" s="112" customFormat="1" ht="12.75">
      <c r="D478" s="205"/>
      <c r="E478" s="206"/>
      <c r="F478" s="205"/>
      <c r="G478" s="206"/>
      <c r="H478" s="205"/>
      <c r="I478" s="206"/>
      <c r="J478" s="205"/>
      <c r="K478" s="206"/>
      <c r="L478" s="205"/>
      <c r="M478" s="206"/>
      <c r="N478" s="205"/>
      <c r="O478" s="206"/>
    </row>
    <row r="479" spans="4:15" s="112" customFormat="1" ht="12.75">
      <c r="D479" s="205"/>
      <c r="E479" s="206"/>
      <c r="F479" s="205"/>
      <c r="G479" s="206"/>
      <c r="H479" s="205"/>
      <c r="I479" s="206"/>
      <c r="J479" s="205"/>
      <c r="K479" s="206"/>
      <c r="L479" s="205"/>
      <c r="M479" s="206"/>
      <c r="N479" s="205"/>
      <c r="O479" s="206"/>
    </row>
    <row r="480" spans="4:15" s="112" customFormat="1" ht="12.75">
      <c r="D480" s="205"/>
      <c r="E480" s="206"/>
      <c r="F480" s="205"/>
      <c r="G480" s="206"/>
      <c r="H480" s="205"/>
      <c r="I480" s="206"/>
      <c r="J480" s="205"/>
      <c r="K480" s="206"/>
      <c r="L480" s="205"/>
      <c r="M480" s="206"/>
      <c r="N480" s="205"/>
      <c r="O480" s="206"/>
    </row>
    <row r="481" spans="4:15" s="112" customFormat="1" ht="12.75">
      <c r="D481" s="205"/>
      <c r="E481" s="206"/>
      <c r="F481" s="205"/>
      <c r="G481" s="206"/>
      <c r="H481" s="205"/>
      <c r="I481" s="206"/>
      <c r="J481" s="205"/>
      <c r="K481" s="206"/>
      <c r="L481" s="205"/>
      <c r="M481" s="206"/>
      <c r="N481" s="205"/>
      <c r="O481" s="206"/>
    </row>
    <row r="482" spans="4:15" s="112" customFormat="1" ht="12.75">
      <c r="D482" s="205"/>
      <c r="E482" s="206"/>
      <c r="F482" s="205"/>
      <c r="G482" s="206"/>
      <c r="H482" s="205"/>
      <c r="I482" s="206"/>
      <c r="J482" s="205"/>
      <c r="K482" s="206"/>
      <c r="L482" s="205"/>
      <c r="M482" s="206"/>
      <c r="N482" s="205"/>
      <c r="O482" s="206"/>
    </row>
    <row r="483" spans="4:15" s="112" customFormat="1" ht="12.75">
      <c r="D483" s="205"/>
      <c r="E483" s="206"/>
      <c r="F483" s="205"/>
      <c r="G483" s="206"/>
      <c r="H483" s="205"/>
      <c r="I483" s="206"/>
      <c r="J483" s="205"/>
      <c r="K483" s="206"/>
      <c r="L483" s="205"/>
      <c r="M483" s="206"/>
      <c r="N483" s="205"/>
      <c r="O483" s="206"/>
    </row>
    <row r="484" spans="4:15" s="112" customFormat="1" ht="12.75">
      <c r="D484" s="205"/>
      <c r="E484" s="206"/>
      <c r="F484" s="205"/>
      <c r="G484" s="206"/>
      <c r="H484" s="205"/>
      <c r="I484" s="206"/>
      <c r="J484" s="205"/>
      <c r="K484" s="206"/>
      <c r="L484" s="205"/>
      <c r="M484" s="206"/>
      <c r="N484" s="205"/>
      <c r="O484" s="206"/>
    </row>
    <row r="485" spans="4:15" s="112" customFormat="1" ht="12.75">
      <c r="D485" s="205"/>
      <c r="E485" s="206"/>
      <c r="F485" s="205"/>
      <c r="G485" s="206"/>
      <c r="H485" s="205"/>
      <c r="I485" s="206"/>
      <c r="J485" s="205"/>
      <c r="K485" s="206"/>
      <c r="L485" s="205"/>
      <c r="M485" s="206"/>
      <c r="N485" s="205"/>
      <c r="O485" s="206"/>
    </row>
    <row r="486" spans="4:15" s="112" customFormat="1" ht="12.75">
      <c r="D486" s="205"/>
      <c r="E486" s="206"/>
      <c r="F486" s="205"/>
      <c r="G486" s="206"/>
      <c r="H486" s="205"/>
      <c r="I486" s="206"/>
      <c r="J486" s="205"/>
      <c r="K486" s="206"/>
      <c r="L486" s="205"/>
      <c r="M486" s="206"/>
      <c r="N486" s="205"/>
      <c r="O486" s="206"/>
    </row>
    <row r="487" spans="4:15" s="112" customFormat="1" ht="12.75">
      <c r="D487" s="205"/>
      <c r="E487" s="206"/>
      <c r="F487" s="205"/>
      <c r="G487" s="206"/>
      <c r="H487" s="205"/>
      <c r="I487" s="206"/>
      <c r="J487" s="205"/>
      <c r="K487" s="206"/>
      <c r="L487" s="205"/>
      <c r="M487" s="206"/>
      <c r="N487" s="205"/>
      <c r="O487" s="206"/>
    </row>
    <row r="488" spans="4:15" s="112" customFormat="1" ht="12.75">
      <c r="D488" s="205"/>
      <c r="E488" s="206"/>
      <c r="F488" s="205"/>
      <c r="G488" s="206"/>
      <c r="H488" s="205"/>
      <c r="I488" s="206"/>
      <c r="J488" s="205"/>
      <c r="K488" s="206"/>
      <c r="L488" s="205"/>
      <c r="M488" s="206"/>
      <c r="N488" s="205"/>
      <c r="O488" s="206"/>
    </row>
    <row r="489" spans="4:15" s="112" customFormat="1" ht="12.75">
      <c r="D489" s="205"/>
      <c r="E489" s="206"/>
      <c r="F489" s="205"/>
      <c r="G489" s="206"/>
      <c r="H489" s="205"/>
      <c r="I489" s="206"/>
      <c r="J489" s="205"/>
      <c r="K489" s="206"/>
      <c r="L489" s="205"/>
      <c r="M489" s="206"/>
      <c r="N489" s="205"/>
      <c r="O489" s="206"/>
    </row>
    <row r="490" spans="4:15" s="112" customFormat="1" ht="12.75">
      <c r="D490" s="205"/>
      <c r="E490" s="206"/>
      <c r="F490" s="205"/>
      <c r="G490" s="206"/>
      <c r="H490" s="205"/>
      <c r="I490" s="206"/>
      <c r="J490" s="205"/>
      <c r="K490" s="206"/>
      <c r="L490" s="205"/>
      <c r="M490" s="206"/>
      <c r="N490" s="205"/>
      <c r="O490" s="206"/>
    </row>
    <row r="491" spans="4:15" s="112" customFormat="1" ht="12.75">
      <c r="D491" s="205"/>
      <c r="E491" s="206"/>
      <c r="F491" s="205"/>
      <c r="G491" s="206"/>
      <c r="H491" s="205"/>
      <c r="I491" s="206"/>
      <c r="J491" s="205"/>
      <c r="K491" s="206"/>
      <c r="L491" s="205"/>
      <c r="M491" s="206"/>
      <c r="N491" s="205"/>
      <c r="O491" s="206"/>
    </row>
  </sheetData>
  <sheetProtection password="C857" sheet="1" objects="1" scenarios="1"/>
  <mergeCells count="32">
    <mergeCell ref="C4:G4"/>
    <mergeCell ref="E27:E28"/>
    <mergeCell ref="E31:E32"/>
    <mergeCell ref="E8:E11"/>
    <mergeCell ref="E14:E16"/>
    <mergeCell ref="E22:E24"/>
    <mergeCell ref="G31:G32"/>
    <mergeCell ref="I31:I32"/>
    <mergeCell ref="G8:G11"/>
    <mergeCell ref="G14:G16"/>
    <mergeCell ref="G22:G24"/>
    <mergeCell ref="G27:G28"/>
    <mergeCell ref="I8:I11"/>
    <mergeCell ref="I14:I16"/>
    <mergeCell ref="I22:I24"/>
    <mergeCell ref="I27:I28"/>
    <mergeCell ref="C2:O2"/>
    <mergeCell ref="O31:O32"/>
    <mergeCell ref="O8:O11"/>
    <mergeCell ref="O14:O16"/>
    <mergeCell ref="O22:O24"/>
    <mergeCell ref="O27:O28"/>
    <mergeCell ref="K31:K32"/>
    <mergeCell ref="M8:M11"/>
    <mergeCell ref="M14:M16"/>
    <mergeCell ref="M22:M24"/>
    <mergeCell ref="M27:M28"/>
    <mergeCell ref="M31:M32"/>
    <mergeCell ref="K8:K11"/>
    <mergeCell ref="K14:K16"/>
    <mergeCell ref="K22:K24"/>
    <mergeCell ref="K27:K28"/>
  </mergeCells>
  <phoneticPr fontId="0" type="noConversion"/>
  <conditionalFormatting sqref="C35:O35">
    <cfRule type="cellIs" dxfId="7" priority="1" stopIfTrue="1" operator="equal">
      <formula>0</formula>
    </cfRule>
  </conditionalFormatting>
  <pageMargins left="0.39370078740157483" right="0.39370078740157483" top="0.98425196850393704" bottom="0.98425196850393704" header="0.51181102362204722" footer="0.51181102362204722"/>
  <pageSetup paperSize="9" scale="74" orientation="landscape" r:id="rId1"/>
  <headerFooter alignWithMargins="0">
    <oddFooter>&amp;LZKB KMU Check-up&amp;CSeite &amp;P / &amp;N&amp;R&amp;D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pageSetUpPr fitToPage="1"/>
  </sheetPr>
  <dimension ref="A1:M487"/>
  <sheetViews>
    <sheetView showGridLines="0" showRowColHeaders="0" topLeftCell="A2" zoomScale="84" zoomScaleNormal="100" workbookViewId="0">
      <pane xSplit="2" ySplit="3"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35.875" style="70" customWidth="1"/>
    <col min="4" max="4" width="9.75" style="168" customWidth="1"/>
    <col min="5" max="5" width="7.5" style="169" bestFit="1" customWidth="1"/>
    <col min="6" max="6" width="9.75" style="168" customWidth="1"/>
    <col min="7" max="7" width="7" style="169" customWidth="1"/>
    <col min="8" max="8" width="9.75" style="70" customWidth="1"/>
    <col min="9" max="9" width="7" style="70" customWidth="1"/>
    <col min="10" max="10" width="9.75" style="70" customWidth="1"/>
    <col min="11" max="11" width="7" style="70" customWidth="1"/>
    <col min="12" max="12" width="9.75" style="70" customWidth="1"/>
    <col min="13" max="13" width="7" style="70" customWidth="1"/>
    <col min="14" max="16384" width="11.5" style="70"/>
  </cols>
  <sheetData>
    <row r="1" spans="1:13" s="112" customFormat="1" ht="12.75" hidden="1">
      <c r="D1" s="205"/>
      <c r="E1" s="206"/>
      <c r="F1" s="205"/>
      <c r="G1" s="206"/>
    </row>
    <row r="2" spans="1:13" s="112" customFormat="1" ht="15" customHeight="1">
      <c r="C2" s="551" t="str">
        <f>IF(Hauptübersicht!E13="","Bitte Firma unter 'Home' ergänzen",Hauptübersicht!E13)</f>
        <v>GitFit</v>
      </c>
      <c r="D2" s="552"/>
      <c r="E2" s="552"/>
      <c r="F2" s="552"/>
      <c r="G2" s="552"/>
      <c r="H2" s="552"/>
      <c r="I2" s="552"/>
      <c r="J2" s="552"/>
      <c r="K2" s="552"/>
      <c r="L2" s="552"/>
      <c r="M2" s="553"/>
    </row>
    <row r="3" spans="1:13" s="112" customFormat="1" ht="15" customHeight="1">
      <c r="D3" s="205"/>
      <c r="E3" s="206"/>
      <c r="F3" s="205"/>
      <c r="G3" s="206"/>
    </row>
    <row r="4" spans="1:13" s="112" customFormat="1" ht="27" customHeight="1">
      <c r="A4" s="172"/>
      <c r="C4" s="510" t="s">
        <v>58</v>
      </c>
      <c r="D4" s="510"/>
      <c r="E4" s="510"/>
      <c r="F4" s="510"/>
      <c r="G4" s="510"/>
      <c r="H4" s="290"/>
      <c r="I4" s="290"/>
      <c r="J4" s="290"/>
      <c r="K4" s="290"/>
      <c r="L4" s="290"/>
      <c r="M4" s="290"/>
    </row>
    <row r="5" spans="1:13" s="112" customFormat="1" ht="15">
      <c r="A5" s="99"/>
      <c r="D5" s="205"/>
      <c r="E5" s="206"/>
      <c r="F5" s="205"/>
      <c r="G5" s="206"/>
    </row>
    <row r="6" spans="1:13" s="112" customFormat="1" ht="15">
      <c r="A6" s="174"/>
      <c r="C6" s="291"/>
      <c r="D6" s="292"/>
      <c r="E6" s="293"/>
      <c r="F6" s="292"/>
      <c r="G6" s="293"/>
      <c r="H6" s="292"/>
      <c r="I6" s="293"/>
      <c r="J6" s="292"/>
      <c r="K6" s="314"/>
      <c r="L6" s="292"/>
      <c r="M6" s="293"/>
    </row>
    <row r="7" spans="1:13" s="112" customFormat="1" ht="12.75">
      <c r="A7" s="280"/>
      <c r="C7" s="315" t="str">
        <f>Hauptübersicht!$E$16</f>
        <v>in 1'000 CHF</v>
      </c>
      <c r="D7" s="459">
        <f>Hauptübersicht!K13</f>
        <v>2017</v>
      </c>
      <c r="E7" s="316" t="s">
        <v>2</v>
      </c>
      <c r="F7" s="459">
        <f>Hauptübersicht!K14</f>
        <v>2018</v>
      </c>
      <c r="G7" s="316" t="s">
        <v>2</v>
      </c>
      <c r="H7" s="459">
        <f>Hauptübersicht!K15</f>
        <v>2019</v>
      </c>
      <c r="I7" s="317" t="s">
        <v>2</v>
      </c>
      <c r="J7" s="460">
        <f>Hauptübersicht!K16</f>
        <v>2020</v>
      </c>
      <c r="K7" s="318" t="s">
        <v>2</v>
      </c>
      <c r="L7" s="459">
        <f>Hauptübersicht!K17</f>
        <v>2021</v>
      </c>
      <c r="M7" s="317" t="s">
        <v>2</v>
      </c>
    </row>
    <row r="8" spans="1:13" s="112" customFormat="1" ht="12.75">
      <c r="A8" s="280"/>
      <c r="C8" s="319" t="s">
        <v>59</v>
      </c>
      <c r="D8" s="300">
        <f>'Input Geschäftsgang'!E38</f>
        <v>8</v>
      </c>
      <c r="E8" s="320">
        <f>IF(D8=0,"",100%)</f>
        <v>1</v>
      </c>
      <c r="F8" s="300">
        <f>'Input Geschäftsgang'!G38</f>
        <v>70</v>
      </c>
      <c r="G8" s="320">
        <f>IF(F8=0,"",100%)</f>
        <v>1</v>
      </c>
      <c r="H8" s="300">
        <f>'Input Geschäftsgang'!I38</f>
        <v>300</v>
      </c>
      <c r="I8" s="320">
        <f>IF(H8=0,"",100%)</f>
        <v>1</v>
      </c>
      <c r="J8" s="300">
        <f>'Input Geschäftsgang'!K38</f>
        <v>0</v>
      </c>
      <c r="K8" s="320" t="str">
        <f>IF(J8=0,"",100%)</f>
        <v/>
      </c>
      <c r="L8" s="300">
        <f>'Input Geschäftsgang'!M38</f>
        <v>0</v>
      </c>
      <c r="M8" s="320" t="str">
        <f>IF(L8=0,"",100%)</f>
        <v/>
      </c>
    </row>
    <row r="9" spans="1:13" s="112" customFormat="1" ht="12.75">
      <c r="A9" s="280"/>
      <c r="C9" s="321" t="s">
        <v>56</v>
      </c>
      <c r="D9" s="297">
        <f>'Input Geschäftsgang'!E39</f>
        <v>0.08</v>
      </c>
      <c r="E9" s="322">
        <f>IF(D9=0,"",D9/D$8)</f>
        <v>0.01</v>
      </c>
      <c r="F9" s="297">
        <f>'Input Geschäftsgang'!G39</f>
        <v>0.70000000000000007</v>
      </c>
      <c r="G9" s="322">
        <f>IF(F9=0,"",F9/F$8)</f>
        <v>0.01</v>
      </c>
      <c r="H9" s="297">
        <f>'Input Geschäftsgang'!I39</f>
        <v>3</v>
      </c>
      <c r="I9" s="322">
        <f t="shared" ref="I9:I26" si="0">IF(H9=0,"",H9/H$8)</f>
        <v>0.01</v>
      </c>
      <c r="J9" s="297">
        <f>'Input Geschäftsgang'!K39</f>
        <v>0</v>
      </c>
      <c r="K9" s="322" t="str">
        <f t="shared" ref="K9:K26" si="1">IF(J9=0,"",J9/J$8)</f>
        <v/>
      </c>
      <c r="L9" s="297">
        <f>'Input Geschäftsgang'!M39</f>
        <v>0</v>
      </c>
      <c r="M9" s="322" t="str">
        <f t="shared" ref="M9:M26" si="2">IF(L9=0,"",L9/L$8)</f>
        <v/>
      </c>
    </row>
    <row r="10" spans="1:13" s="112" customFormat="1" ht="12.75">
      <c r="A10" s="280"/>
      <c r="C10" s="323" t="s">
        <v>60</v>
      </c>
      <c r="D10" s="324">
        <f>D8-D9</f>
        <v>7.92</v>
      </c>
      <c r="E10" s="325">
        <f t="shared" ref="E10:G26" si="3">IF(D10=0,"",D10/D$8)</f>
        <v>0.99</v>
      </c>
      <c r="F10" s="324">
        <f>F8-F9</f>
        <v>69.3</v>
      </c>
      <c r="G10" s="325">
        <f t="shared" si="3"/>
        <v>0.99</v>
      </c>
      <c r="H10" s="324">
        <f>H8-H9</f>
        <v>297</v>
      </c>
      <c r="I10" s="325">
        <f t="shared" si="0"/>
        <v>0.99</v>
      </c>
      <c r="J10" s="324">
        <f>J8-J9</f>
        <v>0</v>
      </c>
      <c r="K10" s="325" t="str">
        <f t="shared" si="1"/>
        <v/>
      </c>
      <c r="L10" s="324">
        <f>L8-L9</f>
        <v>0</v>
      </c>
      <c r="M10" s="325" t="str">
        <f t="shared" si="2"/>
        <v/>
      </c>
    </row>
    <row r="11" spans="1:13" s="112" customFormat="1" ht="12.75">
      <c r="A11" s="280"/>
      <c r="C11" s="321" t="s">
        <v>57</v>
      </c>
      <c r="D11" s="297">
        <f>'Input Geschäftsgang'!E41</f>
        <v>290</v>
      </c>
      <c r="E11" s="322">
        <f t="shared" si="3"/>
        <v>36.25</v>
      </c>
      <c r="F11" s="297">
        <f>'Input Geschäftsgang'!G41</f>
        <v>290</v>
      </c>
      <c r="G11" s="322">
        <f t="shared" si="3"/>
        <v>4.1428571428571432</v>
      </c>
      <c r="H11" s="297">
        <f>'Input Geschäftsgang'!I41</f>
        <v>290</v>
      </c>
      <c r="I11" s="322">
        <f t="shared" si="0"/>
        <v>0.96666666666666667</v>
      </c>
      <c r="J11" s="297">
        <f>'Input Geschäftsgang'!K41</f>
        <v>0</v>
      </c>
      <c r="K11" s="322" t="str">
        <f t="shared" si="1"/>
        <v/>
      </c>
      <c r="L11" s="297">
        <f>'Input Geschäftsgang'!M41</f>
        <v>0</v>
      </c>
      <c r="M11" s="322" t="str">
        <f t="shared" si="2"/>
        <v/>
      </c>
    </row>
    <row r="12" spans="1:13" s="112" customFormat="1" ht="12.75">
      <c r="C12" s="326" t="s">
        <v>61</v>
      </c>
      <c r="D12" s="298">
        <f>'Input Geschäftsgang'!E42</f>
        <v>0</v>
      </c>
      <c r="E12" s="327" t="str">
        <f t="shared" si="3"/>
        <v/>
      </c>
      <c r="F12" s="298">
        <f>'Input Geschäftsgang'!G42</f>
        <v>0</v>
      </c>
      <c r="G12" s="327" t="str">
        <f t="shared" si="3"/>
        <v/>
      </c>
      <c r="H12" s="298">
        <f>'Input Geschäftsgang'!I42</f>
        <v>0</v>
      </c>
      <c r="I12" s="327" t="str">
        <f t="shared" si="0"/>
        <v/>
      </c>
      <c r="J12" s="298">
        <f>'Input Geschäftsgang'!K42</f>
        <v>0</v>
      </c>
      <c r="K12" s="327" t="str">
        <f t="shared" si="1"/>
        <v/>
      </c>
      <c r="L12" s="298">
        <f>'Input Geschäftsgang'!M42</f>
        <v>0</v>
      </c>
      <c r="M12" s="327" t="str">
        <f t="shared" si="2"/>
        <v/>
      </c>
    </row>
    <row r="13" spans="1:13" s="112" customFormat="1" ht="12.75">
      <c r="C13" s="347" t="str">
        <f>IF('Input Geschäftsgang'!J8=1,'Input Geschäftsgang'!C23,'Input Geschäftsgang'!C24)</f>
        <v>Werbeaufwand</v>
      </c>
      <c r="D13" s="298">
        <f>'Input Geschäftsgang'!E43</f>
        <v>10</v>
      </c>
      <c r="E13" s="327">
        <f t="shared" si="3"/>
        <v>1.25</v>
      </c>
      <c r="F13" s="298">
        <f>'Input Geschäftsgang'!G43</f>
        <v>10</v>
      </c>
      <c r="G13" s="327">
        <f t="shared" si="3"/>
        <v>0.14285714285714285</v>
      </c>
      <c r="H13" s="298">
        <f>'Input Geschäftsgang'!I43</f>
        <v>15</v>
      </c>
      <c r="I13" s="327">
        <f t="shared" si="0"/>
        <v>0.05</v>
      </c>
      <c r="J13" s="298">
        <f>'Input Geschäftsgang'!K43</f>
        <v>0</v>
      </c>
      <c r="K13" s="327" t="str">
        <f t="shared" si="1"/>
        <v/>
      </c>
      <c r="L13" s="298">
        <f>'Input Geschäftsgang'!M43</f>
        <v>0</v>
      </c>
      <c r="M13" s="327" t="str">
        <f t="shared" si="2"/>
        <v/>
      </c>
    </row>
    <row r="14" spans="1:13" s="112" customFormat="1" ht="12.75">
      <c r="C14" s="321" t="s">
        <v>63</v>
      </c>
      <c r="D14" s="297">
        <f>'Input Geschäftsgang'!E44</f>
        <v>10</v>
      </c>
      <c r="E14" s="322">
        <f t="shared" si="3"/>
        <v>1.25</v>
      </c>
      <c r="F14" s="297">
        <f>'Input Geschäftsgang'!G44</f>
        <v>10</v>
      </c>
      <c r="G14" s="322">
        <f t="shared" si="3"/>
        <v>0.14285714285714285</v>
      </c>
      <c r="H14" s="297">
        <f>'Input Geschäftsgang'!I44</f>
        <v>10</v>
      </c>
      <c r="I14" s="322">
        <f t="shared" si="0"/>
        <v>3.3333333333333333E-2</v>
      </c>
      <c r="J14" s="297">
        <f>'Input Geschäftsgang'!K44</f>
        <v>0</v>
      </c>
      <c r="K14" s="322" t="str">
        <f t="shared" si="1"/>
        <v/>
      </c>
      <c r="L14" s="297">
        <f>'Input Geschäftsgang'!M44</f>
        <v>0</v>
      </c>
      <c r="M14" s="322" t="str">
        <f t="shared" si="2"/>
        <v/>
      </c>
    </row>
    <row r="15" spans="1:13" s="112" customFormat="1" ht="12.75">
      <c r="C15" s="323" t="s">
        <v>55</v>
      </c>
      <c r="D15" s="324">
        <f>D10-SUM(D11:D14)</f>
        <v>-302.08</v>
      </c>
      <c r="E15" s="325">
        <f t="shared" si="3"/>
        <v>-37.76</v>
      </c>
      <c r="F15" s="324">
        <f>F10-SUM(F11:F14)</f>
        <v>-240.7</v>
      </c>
      <c r="G15" s="325">
        <f t="shared" si="3"/>
        <v>-3.4385714285714286</v>
      </c>
      <c r="H15" s="324">
        <f>H10-SUM(H11:H14)</f>
        <v>-18</v>
      </c>
      <c r="I15" s="325">
        <f t="shared" si="0"/>
        <v>-0.06</v>
      </c>
      <c r="J15" s="324">
        <f>J10-SUM(J11:J14)</f>
        <v>0</v>
      </c>
      <c r="K15" s="325" t="str">
        <f t="shared" si="1"/>
        <v/>
      </c>
      <c r="L15" s="324">
        <f>L10-SUM(L11:L14)</f>
        <v>0</v>
      </c>
      <c r="M15" s="325" t="str">
        <f t="shared" si="2"/>
        <v/>
      </c>
    </row>
    <row r="16" spans="1:13" s="112" customFormat="1" ht="12.75">
      <c r="C16" s="321" t="s">
        <v>64</v>
      </c>
      <c r="D16" s="297">
        <f>('Output Planbilanz'!D14-'Input Geschäftsgang'!E54-'Input Geschäftsgang'!E56)*'Input Eröffnungsbilanz'!K19</f>
        <v>3.3000000000000003</v>
      </c>
      <c r="E16" s="328">
        <f t="shared" si="3"/>
        <v>0.41250000000000003</v>
      </c>
      <c r="F16" s="297">
        <f>('Output Planbilanz'!F14-'Input Geschäftsgang'!G54-'Input Geschäftsgang'!G56)*'Input Eröffnungsbilanz'!M19</f>
        <v>5.85</v>
      </c>
      <c r="G16" s="328">
        <f t="shared" si="3"/>
        <v>8.357142857142856E-2</v>
      </c>
      <c r="H16" s="297">
        <f>('Output Planbilanz'!H14-'Input Geschäftsgang'!I54-'Input Geschäftsgang'!I56)*'Input Eröffnungsbilanz'!O19</f>
        <v>8.85</v>
      </c>
      <c r="I16" s="328">
        <f t="shared" si="0"/>
        <v>2.9499999999999998E-2</v>
      </c>
      <c r="J16" s="297">
        <f>('Output Planbilanz'!J14-'Input Geschäftsgang'!K54-'Input Geschäftsgang'!K56)*'Input Eröffnungsbilanz'!Q19</f>
        <v>0</v>
      </c>
      <c r="K16" s="328" t="str">
        <f t="shared" si="1"/>
        <v/>
      </c>
      <c r="L16" s="297">
        <f>('Output Planbilanz'!L14-'Input Geschäftsgang'!M54-'Input Geschäftsgang'!M56)*'Input Eröffnungsbilanz'!S19</f>
        <v>0</v>
      </c>
      <c r="M16" s="328" t="str">
        <f t="shared" si="2"/>
        <v/>
      </c>
    </row>
    <row r="17" spans="3:13" s="112" customFormat="1" ht="12.75">
      <c r="C17" s="326" t="s">
        <v>65</v>
      </c>
      <c r="D17" s="298">
        <f>('Output Planbilanz'!D15-'Input Geschäftsgang'!E61-'Input Geschäftsgang'!E63)*'Input Eröffnungsbilanz'!K20</f>
        <v>0</v>
      </c>
      <c r="E17" s="327" t="str">
        <f t="shared" si="3"/>
        <v/>
      </c>
      <c r="F17" s="298">
        <f>('Output Planbilanz'!F15-'Input Geschäftsgang'!G61-'Input Geschäftsgang'!G63)*'Input Eröffnungsbilanz'!M20</f>
        <v>0</v>
      </c>
      <c r="G17" s="327" t="str">
        <f t="shared" si="3"/>
        <v/>
      </c>
      <c r="H17" s="298">
        <f>('Output Planbilanz'!H15-'Input Geschäftsgang'!I61-'Input Geschäftsgang'!I63)*'Input Eröffnungsbilanz'!O20</f>
        <v>0</v>
      </c>
      <c r="I17" s="327" t="str">
        <f t="shared" si="0"/>
        <v/>
      </c>
      <c r="J17" s="298">
        <f>('Output Planbilanz'!J15-'Input Geschäftsgang'!K61-'Input Geschäftsgang'!K63)*'Input Eröffnungsbilanz'!Q20</f>
        <v>0</v>
      </c>
      <c r="K17" s="327" t="str">
        <f t="shared" si="1"/>
        <v/>
      </c>
      <c r="L17" s="298">
        <f>('Output Planbilanz'!L15-'Input Geschäftsgang'!M61-'Input Geschäftsgang'!M63)*'Input Eröffnungsbilanz'!S20</f>
        <v>0</v>
      </c>
      <c r="M17" s="327" t="str">
        <f t="shared" si="2"/>
        <v/>
      </c>
    </row>
    <row r="18" spans="3:13" s="112" customFormat="1" ht="12.75">
      <c r="C18" s="329" t="s">
        <v>66</v>
      </c>
      <c r="D18" s="299">
        <f>('Output Planbilanz'!D16-'Input Geschäftsgang'!E68-'Input Geschäftsgang'!E70)*'Input Eröffnungsbilanz'!K21</f>
        <v>0</v>
      </c>
      <c r="E18" s="330" t="str">
        <f t="shared" si="3"/>
        <v/>
      </c>
      <c r="F18" s="299">
        <f>('Output Planbilanz'!F16-'Input Geschäftsgang'!G68-'Input Geschäftsgang'!G70)*'Input Eröffnungsbilanz'!M21</f>
        <v>0</v>
      </c>
      <c r="G18" s="330" t="str">
        <f t="shared" si="3"/>
        <v/>
      </c>
      <c r="H18" s="299">
        <f>('Output Planbilanz'!H16-'Input Geschäftsgang'!I68-'Input Geschäftsgang'!I70)*'Input Eröffnungsbilanz'!O21</f>
        <v>0</v>
      </c>
      <c r="I18" s="330" t="str">
        <f t="shared" si="0"/>
        <v/>
      </c>
      <c r="J18" s="299">
        <f>('Output Planbilanz'!J16-'Input Geschäftsgang'!K68-'Input Geschäftsgang'!K70)*'Input Eröffnungsbilanz'!Q21</f>
        <v>0</v>
      </c>
      <c r="K18" s="330" t="str">
        <f t="shared" si="1"/>
        <v/>
      </c>
      <c r="L18" s="299">
        <f>('Output Planbilanz'!L16-'Input Geschäftsgang'!M68-'Input Geschäftsgang'!M70)*'Input Eröffnungsbilanz'!S21</f>
        <v>0</v>
      </c>
      <c r="M18" s="330" t="str">
        <f t="shared" si="2"/>
        <v/>
      </c>
    </row>
    <row r="19" spans="3:13" s="112" customFormat="1" ht="12.75">
      <c r="C19" s="323" t="s">
        <v>67</v>
      </c>
      <c r="D19" s="324">
        <f>D15-SUM(D16:D18)</f>
        <v>-305.38</v>
      </c>
      <c r="E19" s="325">
        <f t="shared" si="3"/>
        <v>-38.172499999999999</v>
      </c>
      <c r="F19" s="324">
        <f>F15-SUM(F16:F18)</f>
        <v>-246.54999999999998</v>
      </c>
      <c r="G19" s="325">
        <f t="shared" si="3"/>
        <v>-3.5221428571428568</v>
      </c>
      <c r="H19" s="324">
        <f>H15-SUM(H16:H18)</f>
        <v>-26.85</v>
      </c>
      <c r="I19" s="325">
        <f t="shared" si="0"/>
        <v>-8.950000000000001E-2</v>
      </c>
      <c r="J19" s="324">
        <f>J15-SUM(J16:J18)</f>
        <v>0</v>
      </c>
      <c r="K19" s="325" t="str">
        <f t="shared" si="1"/>
        <v/>
      </c>
      <c r="L19" s="324">
        <f>L15-SUM(L16:L18)</f>
        <v>0</v>
      </c>
      <c r="M19" s="325" t="str">
        <f t="shared" si="2"/>
        <v/>
      </c>
    </row>
    <row r="20" spans="3:13" s="112" customFormat="1" ht="12.75">
      <c r="C20" s="321" t="s">
        <v>83</v>
      </c>
      <c r="D20" s="297">
        <f>'Output Mittelflussrechnung'!E26/(1-'Input Geschäftsgang'!E49)</f>
        <v>0</v>
      </c>
      <c r="E20" s="322" t="str">
        <f t="shared" si="3"/>
        <v/>
      </c>
      <c r="F20" s="297">
        <f>'Output Mittelflussrechnung'!G26/(1-'Input Geschäftsgang'!G49)</f>
        <v>25</v>
      </c>
      <c r="G20" s="322">
        <f t="shared" si="3"/>
        <v>0.35714285714285715</v>
      </c>
      <c r="H20" s="297">
        <f>'Output Mittelflussrechnung'!I26/(1-'Input Geschäftsgang'!I49)</f>
        <v>25</v>
      </c>
      <c r="I20" s="322">
        <f t="shared" si="0"/>
        <v>8.3333333333333329E-2</v>
      </c>
      <c r="J20" s="297">
        <f>'Output Mittelflussrechnung'!K26/(1-'Input Geschäftsgang'!K49)</f>
        <v>0</v>
      </c>
      <c r="K20" s="322" t="str">
        <f t="shared" si="1"/>
        <v/>
      </c>
      <c r="L20" s="297">
        <f>'Output Mittelflussrechnung'!M26/(1-'Input Geschäftsgang'!M49)</f>
        <v>0</v>
      </c>
      <c r="M20" s="322" t="str">
        <f t="shared" si="2"/>
        <v/>
      </c>
    </row>
    <row r="21" spans="3:13" s="112" customFormat="1" ht="13.5" hidden="1" thickBot="1">
      <c r="C21" s="321"/>
      <c r="D21" s="297"/>
      <c r="E21" s="322" t="str">
        <f t="shared" si="3"/>
        <v/>
      </c>
      <c r="F21" s="297"/>
      <c r="G21" s="322" t="str">
        <f t="shared" si="3"/>
        <v/>
      </c>
      <c r="H21" s="297"/>
      <c r="I21" s="322" t="str">
        <f t="shared" si="0"/>
        <v/>
      </c>
      <c r="J21" s="331"/>
      <c r="K21" s="322" t="str">
        <f t="shared" si="1"/>
        <v/>
      </c>
      <c r="L21" s="297"/>
      <c r="M21" s="322" t="str">
        <f t="shared" si="2"/>
        <v/>
      </c>
    </row>
    <row r="22" spans="3:13" s="112" customFormat="1" ht="12.75">
      <c r="C22" s="323" t="s">
        <v>92</v>
      </c>
      <c r="D22" s="324">
        <f>D19-D20</f>
        <v>-305.38</v>
      </c>
      <c r="E22" s="325">
        <f t="shared" si="3"/>
        <v>-38.172499999999999</v>
      </c>
      <c r="F22" s="324">
        <f>F19-F20</f>
        <v>-271.54999999999995</v>
      </c>
      <c r="G22" s="325">
        <f t="shared" si="3"/>
        <v>-3.8792857142857136</v>
      </c>
      <c r="H22" s="324">
        <f>H19-H20</f>
        <v>-51.85</v>
      </c>
      <c r="I22" s="325">
        <f t="shared" si="0"/>
        <v>-0.17283333333333334</v>
      </c>
      <c r="J22" s="324">
        <f>J19-J20</f>
        <v>0</v>
      </c>
      <c r="K22" s="325" t="str">
        <f t="shared" si="1"/>
        <v/>
      </c>
      <c r="L22" s="324">
        <f>L19-L20</f>
        <v>0</v>
      </c>
      <c r="M22" s="325" t="str">
        <f t="shared" si="2"/>
        <v/>
      </c>
    </row>
    <row r="23" spans="3:13" s="112" customFormat="1" ht="12.75">
      <c r="C23" s="321" t="s">
        <v>93</v>
      </c>
      <c r="D23" s="297">
        <f>MAX('Input Eröffnungsbilanz'!K33,0)-MIN('Input Geschäftsgang'!E59,0)-MIN('Input Geschäftsgang'!E66,0)-MIN('Input Geschäftsgang'!E73,0)</f>
        <v>0</v>
      </c>
      <c r="E23" s="322" t="str">
        <f t="shared" si="3"/>
        <v/>
      </c>
      <c r="F23" s="297">
        <f>MAX('Input Eröffnungsbilanz'!M33,0)-MIN('Input Geschäftsgang'!G59,0)-MIN('Input Geschäftsgang'!G66,0)-MIN('Input Geschäftsgang'!G73,0)</f>
        <v>0</v>
      </c>
      <c r="G23" s="322" t="str">
        <f t="shared" si="3"/>
        <v/>
      </c>
      <c r="H23" s="297">
        <f>MAX('Input Eröffnungsbilanz'!O33,0)-MIN('Input Geschäftsgang'!I59,0)-MIN('Input Geschäftsgang'!I66,0)-MIN('Input Geschäftsgang'!I73,0)</f>
        <v>0</v>
      </c>
      <c r="I23" s="322" t="str">
        <f t="shared" si="0"/>
        <v/>
      </c>
      <c r="J23" s="297">
        <f>MAX('Input Eröffnungsbilanz'!Q33,0)-MIN('Input Geschäftsgang'!K59,0)-MIN('Input Geschäftsgang'!K66,0)-MIN('Input Geschäftsgang'!K73,0)</f>
        <v>0</v>
      </c>
      <c r="K23" s="322" t="str">
        <f t="shared" si="1"/>
        <v/>
      </c>
      <c r="L23" s="297">
        <f>MAX('Input Eröffnungsbilanz'!S33,0)-MIN('Input Geschäftsgang'!M59,0)-MIN('Input Geschäftsgang'!M66,0)-MIN('Input Geschäftsgang'!M73,0)</f>
        <v>0</v>
      </c>
      <c r="M23" s="322" t="str">
        <f t="shared" si="2"/>
        <v/>
      </c>
    </row>
    <row r="24" spans="3:13" s="112" customFormat="1" ht="12.75">
      <c r="C24" s="326" t="s">
        <v>94</v>
      </c>
      <c r="D24" s="298">
        <f>-MIN('Input Eröffnungsbilanz'!K33,0)+MAX('Input Geschäftsgang'!E59,0)+MAX('Input Geschäftsgang'!E66,0)+MAX('Input Geschäftsgang'!E73,0)</f>
        <v>0</v>
      </c>
      <c r="E24" s="327" t="str">
        <f t="shared" si="3"/>
        <v/>
      </c>
      <c r="F24" s="298">
        <f>-MIN('Input Eröffnungsbilanz'!M33,0)+MAX('Input Geschäftsgang'!G59,0)+MAX('Input Geschäftsgang'!G66,0)+MAX('Input Geschäftsgang'!G73,0)</f>
        <v>0</v>
      </c>
      <c r="G24" s="327" t="str">
        <f t="shared" si="3"/>
        <v/>
      </c>
      <c r="H24" s="298">
        <f>-MIN('Input Eröffnungsbilanz'!O33,0)+MAX('Input Geschäftsgang'!I59,0)+MAX('Input Geschäftsgang'!I66,0)+MAX('Input Geschäftsgang'!I73,0)</f>
        <v>0</v>
      </c>
      <c r="I24" s="327" t="str">
        <f t="shared" si="0"/>
        <v/>
      </c>
      <c r="J24" s="298">
        <f>-MIN('Input Eröffnungsbilanz'!Q33,0)+MAX('Input Geschäftsgang'!K59,0)+MAX('Input Geschäftsgang'!K66,0)+MAX('Input Geschäftsgang'!K73,0)</f>
        <v>0</v>
      </c>
      <c r="K24" s="327" t="str">
        <f t="shared" si="1"/>
        <v/>
      </c>
      <c r="L24" s="298">
        <f>-MIN('Input Eröffnungsbilanz'!S33,0)+MAX('Input Geschäftsgang'!M59,0)+MAX('Input Geschäftsgang'!M66,0)+MAX('Input Geschäftsgang'!M73,0)</f>
        <v>0</v>
      </c>
      <c r="M24" s="327" t="str">
        <f t="shared" si="2"/>
        <v/>
      </c>
    </row>
    <row r="25" spans="3:13" s="112" customFormat="1" ht="13.5" thickBot="1">
      <c r="C25" s="326" t="s">
        <v>74</v>
      </c>
      <c r="D25" s="298">
        <f>MAX(0,(D22-D23+D24)*'Input Geschäftsgang'!E49)</f>
        <v>0</v>
      </c>
      <c r="E25" s="327" t="str">
        <f t="shared" si="3"/>
        <v/>
      </c>
      <c r="F25" s="298">
        <f>MAX(0,(F22-F23+F24)*'Input Geschäftsgang'!G49)</f>
        <v>0</v>
      </c>
      <c r="G25" s="327" t="str">
        <f t="shared" si="3"/>
        <v/>
      </c>
      <c r="H25" s="298">
        <f>MAX(0,(H22-H23+H24)*'Input Geschäftsgang'!I49)</f>
        <v>0</v>
      </c>
      <c r="I25" s="327" t="str">
        <f t="shared" si="0"/>
        <v/>
      </c>
      <c r="J25" s="298">
        <f>MAX(0,(J22-J23+J24)*'Input Geschäftsgang'!K49)</f>
        <v>0</v>
      </c>
      <c r="K25" s="327" t="str">
        <f t="shared" si="1"/>
        <v/>
      </c>
      <c r="L25" s="298">
        <f>MAX(0,(L22-L23+L24)*'Input Geschäftsgang'!M49)</f>
        <v>0</v>
      </c>
      <c r="M25" s="327" t="str">
        <f t="shared" si="2"/>
        <v/>
      </c>
    </row>
    <row r="26" spans="3:13" s="112" customFormat="1" ht="13.5" thickBot="1">
      <c r="C26" s="332" t="s">
        <v>75</v>
      </c>
      <c r="D26" s="333">
        <f>D22-D23+D24-D25</f>
        <v>-305.38</v>
      </c>
      <c r="E26" s="334">
        <f t="shared" si="3"/>
        <v>-38.172499999999999</v>
      </c>
      <c r="F26" s="333">
        <f>F22-F23+F24-F25</f>
        <v>-271.54999999999995</v>
      </c>
      <c r="G26" s="334">
        <f t="shared" si="3"/>
        <v>-3.8792857142857136</v>
      </c>
      <c r="H26" s="333">
        <f>H22-H23+H24-H25</f>
        <v>-51.85</v>
      </c>
      <c r="I26" s="334">
        <f t="shared" si="0"/>
        <v>-0.17283333333333334</v>
      </c>
      <c r="J26" s="333">
        <f>J22-J23+J24-J25</f>
        <v>0</v>
      </c>
      <c r="K26" s="334" t="str">
        <f t="shared" si="1"/>
        <v/>
      </c>
      <c r="L26" s="333">
        <f>L22-L23+L24-L25</f>
        <v>0</v>
      </c>
      <c r="M26" s="334" t="str">
        <f t="shared" si="2"/>
        <v/>
      </c>
    </row>
    <row r="27" spans="3:13" s="112" customFormat="1" ht="12.75">
      <c r="D27" s="205"/>
      <c r="E27" s="206"/>
      <c r="F27" s="205"/>
      <c r="G27" s="206"/>
    </row>
    <row r="28" spans="3:13" s="112" customFormat="1" ht="12.75">
      <c r="D28" s="205"/>
      <c r="E28" s="206"/>
      <c r="F28" s="205"/>
      <c r="G28" s="206"/>
    </row>
    <row r="29" spans="3:13" s="112" customFormat="1" ht="12.75">
      <c r="D29" s="205"/>
      <c r="E29" s="206"/>
      <c r="F29" s="205"/>
      <c r="G29" s="206"/>
    </row>
    <row r="30" spans="3:13" s="112" customFormat="1" ht="12.75">
      <c r="D30" s="205"/>
      <c r="E30" s="206"/>
      <c r="F30" s="205"/>
      <c r="G30" s="206"/>
    </row>
    <row r="31" spans="3:13" s="112" customFormat="1" ht="12.75">
      <c r="D31" s="205"/>
      <c r="E31" s="206"/>
      <c r="F31" s="205"/>
      <c r="G31" s="206"/>
    </row>
    <row r="32" spans="3:13" s="112" customFormat="1" ht="12.75">
      <c r="D32" s="205"/>
      <c r="E32" s="206"/>
      <c r="F32" s="205"/>
      <c r="G32" s="206"/>
    </row>
    <row r="33" spans="4:7" s="112" customFormat="1" ht="12.75">
      <c r="D33" s="205"/>
      <c r="E33" s="206"/>
      <c r="F33" s="205"/>
      <c r="G33" s="206"/>
    </row>
    <row r="34" spans="4:7" s="112" customFormat="1" ht="12.75">
      <c r="D34" s="205"/>
      <c r="E34" s="206"/>
      <c r="F34" s="205"/>
      <c r="G34" s="206"/>
    </row>
    <row r="35" spans="4:7" s="112" customFormat="1" ht="12.75">
      <c r="D35" s="205"/>
      <c r="E35" s="206"/>
      <c r="F35" s="205"/>
      <c r="G35" s="206"/>
    </row>
    <row r="36" spans="4:7" s="112" customFormat="1" ht="12.75">
      <c r="D36" s="205"/>
      <c r="E36" s="206"/>
      <c r="F36" s="205"/>
      <c r="G36" s="206"/>
    </row>
    <row r="37" spans="4:7" s="112" customFormat="1" ht="12.75">
      <c r="D37" s="205"/>
      <c r="E37" s="206"/>
      <c r="F37" s="205"/>
      <c r="G37" s="206"/>
    </row>
    <row r="38" spans="4:7" s="112" customFormat="1" ht="12.75">
      <c r="D38" s="205"/>
      <c r="E38" s="206"/>
      <c r="F38" s="205"/>
      <c r="G38" s="206"/>
    </row>
    <row r="39" spans="4:7" s="112" customFormat="1" ht="12.75">
      <c r="D39" s="205"/>
      <c r="E39" s="206"/>
      <c r="F39" s="205"/>
      <c r="G39" s="206"/>
    </row>
    <row r="40" spans="4:7" s="112" customFormat="1" ht="12.75">
      <c r="D40" s="205"/>
      <c r="E40" s="206"/>
      <c r="F40" s="205"/>
      <c r="G40" s="206"/>
    </row>
    <row r="41" spans="4:7" s="112" customFormat="1" ht="12.75">
      <c r="D41" s="205"/>
      <c r="E41" s="206"/>
      <c r="F41" s="205"/>
      <c r="G41" s="206"/>
    </row>
    <row r="42" spans="4:7" s="112" customFormat="1" ht="12.75">
      <c r="D42" s="205"/>
      <c r="E42" s="206"/>
      <c r="F42" s="205"/>
      <c r="G42" s="206"/>
    </row>
    <row r="43" spans="4:7" s="112" customFormat="1" ht="12.75">
      <c r="D43" s="205"/>
      <c r="E43" s="206"/>
      <c r="F43" s="205"/>
      <c r="G43" s="206"/>
    </row>
    <row r="44" spans="4:7" s="112" customFormat="1" ht="12.75">
      <c r="D44" s="205"/>
      <c r="E44" s="206"/>
      <c r="F44" s="205"/>
      <c r="G44" s="206"/>
    </row>
    <row r="45" spans="4:7" s="112" customFormat="1" ht="12.75">
      <c r="D45" s="205"/>
      <c r="E45" s="206"/>
      <c r="F45" s="205"/>
      <c r="G45" s="206"/>
    </row>
    <row r="46" spans="4:7" s="112" customFormat="1" ht="12.75">
      <c r="D46" s="205"/>
      <c r="E46" s="206"/>
      <c r="F46" s="205"/>
      <c r="G46" s="206"/>
    </row>
    <row r="47" spans="4:7" s="112" customFormat="1" ht="12.75">
      <c r="D47" s="205"/>
      <c r="E47" s="206"/>
      <c r="F47" s="205"/>
      <c r="G47" s="206"/>
    </row>
    <row r="48" spans="4:7" s="112" customFormat="1" ht="12.75">
      <c r="D48" s="205"/>
      <c r="E48" s="206"/>
      <c r="F48" s="205"/>
      <c r="G48" s="206"/>
    </row>
    <row r="49" spans="4:7" s="112" customFormat="1" ht="12.75">
      <c r="D49" s="205"/>
      <c r="E49" s="206"/>
      <c r="F49" s="205"/>
      <c r="G49" s="206"/>
    </row>
    <row r="50" spans="4:7" s="112" customFormat="1" ht="12.75">
      <c r="D50" s="205"/>
      <c r="E50" s="206"/>
      <c r="F50" s="205"/>
      <c r="G50" s="206"/>
    </row>
    <row r="51" spans="4:7" s="112" customFormat="1" ht="12.75">
      <c r="D51" s="205"/>
      <c r="E51" s="206"/>
      <c r="F51" s="205"/>
      <c r="G51" s="206"/>
    </row>
    <row r="52" spans="4:7" s="112" customFormat="1" ht="12.75">
      <c r="D52" s="205"/>
      <c r="E52" s="206"/>
      <c r="F52" s="205"/>
      <c r="G52" s="206"/>
    </row>
    <row r="53" spans="4:7" s="112" customFormat="1" ht="12.75">
      <c r="D53" s="205"/>
      <c r="E53" s="206"/>
      <c r="F53" s="205"/>
      <c r="G53" s="206"/>
    </row>
    <row r="54" spans="4:7" s="112" customFormat="1" ht="12.75">
      <c r="D54" s="205"/>
      <c r="E54" s="206"/>
      <c r="F54" s="205"/>
      <c r="G54" s="206"/>
    </row>
    <row r="55" spans="4:7" s="112" customFormat="1" ht="12.75">
      <c r="D55" s="205"/>
      <c r="E55" s="206"/>
      <c r="F55" s="205"/>
      <c r="G55" s="206"/>
    </row>
    <row r="56" spans="4:7" s="112" customFormat="1" ht="12.75">
      <c r="D56" s="205"/>
      <c r="E56" s="206"/>
      <c r="F56" s="205"/>
      <c r="G56" s="206"/>
    </row>
    <row r="57" spans="4:7" s="112" customFormat="1" ht="12.75">
      <c r="D57" s="205"/>
      <c r="E57" s="206"/>
      <c r="F57" s="205"/>
      <c r="G57" s="206"/>
    </row>
    <row r="58" spans="4:7" s="112" customFormat="1" ht="12.75">
      <c r="D58" s="205"/>
      <c r="E58" s="206"/>
      <c r="F58" s="205"/>
      <c r="G58" s="206"/>
    </row>
    <row r="59" spans="4:7" s="112" customFormat="1" ht="12.75">
      <c r="D59" s="205"/>
      <c r="E59" s="206"/>
      <c r="F59" s="205"/>
      <c r="G59" s="206"/>
    </row>
    <row r="60" spans="4:7" s="112" customFormat="1" ht="12.75">
      <c r="D60" s="205"/>
      <c r="E60" s="206"/>
      <c r="F60" s="205"/>
      <c r="G60" s="206"/>
    </row>
    <row r="61" spans="4:7" s="112" customFormat="1" ht="12.75">
      <c r="D61" s="205"/>
      <c r="E61" s="206"/>
      <c r="F61" s="205"/>
      <c r="G61" s="206"/>
    </row>
    <row r="62" spans="4:7" s="112" customFormat="1" ht="12.75">
      <c r="D62" s="205"/>
      <c r="E62" s="206"/>
      <c r="F62" s="205"/>
      <c r="G62" s="206"/>
    </row>
    <row r="63" spans="4:7" s="112" customFormat="1" ht="12.75">
      <c r="D63" s="205"/>
      <c r="E63" s="206"/>
      <c r="F63" s="205"/>
      <c r="G63" s="206"/>
    </row>
    <row r="64" spans="4:7" s="112" customFormat="1" ht="12.75">
      <c r="D64" s="205"/>
      <c r="E64" s="206"/>
      <c r="F64" s="205"/>
      <c r="G64" s="206"/>
    </row>
    <row r="65" spans="4:7" s="112" customFormat="1" ht="12.75">
      <c r="D65" s="205"/>
      <c r="E65" s="206"/>
      <c r="F65" s="205"/>
      <c r="G65" s="206"/>
    </row>
    <row r="66" spans="4:7" s="112" customFormat="1" ht="12.75">
      <c r="D66" s="205"/>
      <c r="E66" s="206"/>
      <c r="F66" s="205"/>
      <c r="G66" s="206"/>
    </row>
    <row r="67" spans="4:7" s="112" customFormat="1" ht="12.75">
      <c r="D67" s="205"/>
      <c r="E67" s="206"/>
      <c r="F67" s="205"/>
      <c r="G67" s="206"/>
    </row>
    <row r="68" spans="4:7" s="112" customFormat="1" ht="12.75">
      <c r="D68" s="205"/>
      <c r="E68" s="206"/>
      <c r="F68" s="205"/>
      <c r="G68" s="206"/>
    </row>
    <row r="69" spans="4:7" s="112" customFormat="1" ht="12.75">
      <c r="D69" s="205"/>
      <c r="E69" s="206"/>
      <c r="F69" s="205"/>
      <c r="G69" s="206"/>
    </row>
    <row r="70" spans="4:7" s="112" customFormat="1" ht="12.75">
      <c r="D70" s="205"/>
      <c r="E70" s="206"/>
      <c r="F70" s="205"/>
      <c r="G70" s="206"/>
    </row>
    <row r="71" spans="4:7" s="112" customFormat="1" ht="12.75">
      <c r="D71" s="205"/>
      <c r="E71" s="206"/>
      <c r="F71" s="205"/>
      <c r="G71" s="206"/>
    </row>
    <row r="72" spans="4:7" s="112" customFormat="1" ht="12.75">
      <c r="D72" s="205"/>
      <c r="E72" s="206"/>
      <c r="F72" s="205"/>
      <c r="G72" s="206"/>
    </row>
    <row r="73" spans="4:7" s="112" customFormat="1" ht="12.75">
      <c r="D73" s="205"/>
      <c r="E73" s="206"/>
      <c r="F73" s="205"/>
      <c r="G73" s="206"/>
    </row>
    <row r="74" spans="4:7" s="112" customFormat="1" ht="12.75">
      <c r="D74" s="205"/>
      <c r="E74" s="206"/>
      <c r="F74" s="205"/>
      <c r="G74" s="206"/>
    </row>
    <row r="75" spans="4:7" s="112" customFormat="1" ht="12.75">
      <c r="D75" s="205"/>
      <c r="E75" s="206"/>
      <c r="F75" s="205"/>
      <c r="G75" s="206"/>
    </row>
    <row r="76" spans="4:7" s="112" customFormat="1" ht="12.75">
      <c r="D76" s="205"/>
      <c r="E76" s="206"/>
      <c r="F76" s="205"/>
      <c r="G76" s="206"/>
    </row>
    <row r="77" spans="4:7" s="112" customFormat="1" ht="12.75">
      <c r="D77" s="205"/>
      <c r="E77" s="206"/>
      <c r="F77" s="205"/>
      <c r="G77" s="206"/>
    </row>
    <row r="78" spans="4:7" s="112" customFormat="1" ht="12.75">
      <c r="D78" s="205"/>
      <c r="E78" s="206"/>
      <c r="F78" s="205"/>
      <c r="G78" s="206"/>
    </row>
    <row r="79" spans="4:7" s="112" customFormat="1" ht="12.75">
      <c r="D79" s="205"/>
      <c r="E79" s="206"/>
      <c r="F79" s="205"/>
      <c r="G79" s="206"/>
    </row>
    <row r="80" spans="4:7" s="112" customFormat="1" ht="12.75">
      <c r="D80" s="205"/>
      <c r="E80" s="206"/>
      <c r="F80" s="205"/>
      <c r="G80" s="206"/>
    </row>
    <row r="81" spans="4:7" s="112" customFormat="1" ht="12.75">
      <c r="D81" s="205"/>
      <c r="E81" s="206"/>
      <c r="F81" s="205"/>
      <c r="G81" s="206"/>
    </row>
    <row r="82" spans="4:7" s="112" customFormat="1" ht="12.75">
      <c r="D82" s="205"/>
      <c r="E82" s="206"/>
      <c r="F82" s="205"/>
      <c r="G82" s="206"/>
    </row>
    <row r="83" spans="4:7" s="112" customFormat="1" ht="12.75">
      <c r="D83" s="205"/>
      <c r="E83" s="206"/>
      <c r="F83" s="205"/>
      <c r="G83" s="206"/>
    </row>
    <row r="84" spans="4:7" s="112" customFormat="1" ht="12.75">
      <c r="D84" s="205"/>
      <c r="E84" s="206"/>
      <c r="F84" s="205"/>
      <c r="G84" s="206"/>
    </row>
    <row r="85" spans="4:7" s="112" customFormat="1" ht="12.75">
      <c r="D85" s="205"/>
      <c r="E85" s="206"/>
      <c r="F85" s="205"/>
      <c r="G85" s="206"/>
    </row>
    <row r="86" spans="4:7" s="112" customFormat="1" ht="12.75">
      <c r="D86" s="205"/>
      <c r="E86" s="206"/>
      <c r="F86" s="205"/>
      <c r="G86" s="206"/>
    </row>
    <row r="87" spans="4:7" s="112" customFormat="1" ht="12.75">
      <c r="D87" s="205"/>
      <c r="E87" s="206"/>
      <c r="F87" s="205"/>
      <c r="G87" s="206"/>
    </row>
    <row r="88" spans="4:7" s="112" customFormat="1" ht="12.75">
      <c r="D88" s="205"/>
      <c r="E88" s="206"/>
      <c r="F88" s="205"/>
      <c r="G88" s="206"/>
    </row>
    <row r="89" spans="4:7" s="112" customFormat="1" ht="12.75">
      <c r="D89" s="205"/>
      <c r="E89" s="206"/>
      <c r="F89" s="205"/>
      <c r="G89" s="206"/>
    </row>
    <row r="90" spans="4:7" s="112" customFormat="1" ht="12.75">
      <c r="D90" s="205"/>
      <c r="E90" s="206"/>
      <c r="F90" s="205"/>
      <c r="G90" s="206"/>
    </row>
    <row r="91" spans="4:7" s="112" customFormat="1" ht="12.75">
      <c r="D91" s="205"/>
      <c r="E91" s="206"/>
      <c r="F91" s="205"/>
      <c r="G91" s="206"/>
    </row>
    <row r="92" spans="4:7" s="112" customFormat="1" ht="12.75">
      <c r="D92" s="205"/>
      <c r="E92" s="206"/>
      <c r="F92" s="205"/>
      <c r="G92" s="206"/>
    </row>
    <row r="93" spans="4:7" s="112" customFormat="1" ht="12.75">
      <c r="D93" s="205"/>
      <c r="E93" s="206"/>
      <c r="F93" s="205"/>
      <c r="G93" s="206"/>
    </row>
    <row r="94" spans="4:7" s="112" customFormat="1" ht="12.75">
      <c r="D94" s="205"/>
      <c r="E94" s="206"/>
      <c r="F94" s="205"/>
      <c r="G94" s="206"/>
    </row>
    <row r="95" spans="4:7" s="112" customFormat="1" ht="12.75">
      <c r="D95" s="205"/>
      <c r="E95" s="206"/>
      <c r="F95" s="205"/>
      <c r="G95" s="206"/>
    </row>
    <row r="96" spans="4:7" s="112" customFormat="1" ht="12.75">
      <c r="D96" s="205"/>
      <c r="E96" s="206"/>
      <c r="F96" s="205"/>
      <c r="G96" s="206"/>
    </row>
    <row r="97" spans="4:7" s="112" customFormat="1" ht="12.75">
      <c r="D97" s="205"/>
      <c r="E97" s="206"/>
      <c r="F97" s="205"/>
      <c r="G97" s="206"/>
    </row>
    <row r="98" spans="4:7" s="112" customFormat="1" ht="12.75">
      <c r="D98" s="205"/>
      <c r="E98" s="206"/>
      <c r="F98" s="205"/>
      <c r="G98" s="206"/>
    </row>
    <row r="99" spans="4:7" s="112" customFormat="1" ht="12.75">
      <c r="D99" s="205"/>
      <c r="E99" s="206"/>
      <c r="F99" s="205"/>
      <c r="G99" s="206"/>
    </row>
    <row r="100" spans="4:7" s="112" customFormat="1" ht="12.75">
      <c r="D100" s="205"/>
      <c r="E100" s="206"/>
      <c r="F100" s="205"/>
      <c r="G100" s="206"/>
    </row>
    <row r="101" spans="4:7" s="112" customFormat="1" ht="12.75">
      <c r="D101" s="205"/>
      <c r="E101" s="206"/>
      <c r="F101" s="205"/>
      <c r="G101" s="206"/>
    </row>
    <row r="102" spans="4:7" s="112" customFormat="1" ht="12.75">
      <c r="D102" s="205"/>
      <c r="E102" s="206"/>
      <c r="F102" s="205"/>
      <c r="G102" s="206"/>
    </row>
    <row r="103" spans="4:7" s="112" customFormat="1" ht="12.75">
      <c r="D103" s="205"/>
      <c r="E103" s="206"/>
      <c r="F103" s="205"/>
      <c r="G103" s="206"/>
    </row>
    <row r="104" spans="4:7" s="112" customFormat="1" ht="12.75">
      <c r="D104" s="205"/>
      <c r="E104" s="206"/>
      <c r="F104" s="205"/>
      <c r="G104" s="206"/>
    </row>
    <row r="105" spans="4:7" s="112" customFormat="1" ht="12.75">
      <c r="D105" s="205"/>
      <c r="E105" s="206"/>
      <c r="F105" s="205"/>
      <c r="G105" s="206"/>
    </row>
    <row r="106" spans="4:7" s="112" customFormat="1" ht="12.75">
      <c r="D106" s="205"/>
      <c r="E106" s="206"/>
      <c r="F106" s="205"/>
      <c r="G106" s="206"/>
    </row>
    <row r="107" spans="4:7" s="112" customFormat="1" ht="12.75">
      <c r="D107" s="205"/>
      <c r="E107" s="206"/>
      <c r="F107" s="205"/>
      <c r="G107" s="206"/>
    </row>
    <row r="108" spans="4:7" s="112" customFormat="1" ht="12.75">
      <c r="D108" s="205"/>
      <c r="E108" s="206"/>
      <c r="F108" s="205"/>
      <c r="G108" s="206"/>
    </row>
    <row r="109" spans="4:7" s="112" customFormat="1" ht="12.75">
      <c r="D109" s="205"/>
      <c r="E109" s="206"/>
      <c r="F109" s="205"/>
      <c r="G109" s="206"/>
    </row>
    <row r="110" spans="4:7" s="112" customFormat="1" ht="12.75">
      <c r="D110" s="205"/>
      <c r="E110" s="206"/>
      <c r="F110" s="205"/>
      <c r="G110" s="206"/>
    </row>
    <row r="111" spans="4:7" s="112" customFormat="1" ht="12.75">
      <c r="D111" s="205"/>
      <c r="E111" s="206"/>
      <c r="F111" s="205"/>
      <c r="G111" s="206"/>
    </row>
    <row r="112" spans="4:7" s="112" customFormat="1" ht="12.75">
      <c r="D112" s="205"/>
      <c r="E112" s="206"/>
      <c r="F112" s="205"/>
      <c r="G112" s="206"/>
    </row>
    <row r="113" spans="4:7" s="112" customFormat="1" ht="12.75">
      <c r="D113" s="205"/>
      <c r="E113" s="206"/>
      <c r="F113" s="205"/>
      <c r="G113" s="206"/>
    </row>
    <row r="114" spans="4:7" s="112" customFormat="1" ht="12.75">
      <c r="D114" s="205"/>
      <c r="E114" s="206"/>
      <c r="F114" s="205"/>
      <c r="G114" s="206"/>
    </row>
    <row r="115" spans="4:7" s="112" customFormat="1" ht="12.75">
      <c r="D115" s="205"/>
      <c r="E115" s="206"/>
      <c r="F115" s="205"/>
      <c r="G115" s="206"/>
    </row>
    <row r="116" spans="4:7" s="112" customFormat="1" ht="12.75">
      <c r="D116" s="205"/>
      <c r="E116" s="206"/>
      <c r="F116" s="205"/>
      <c r="G116" s="206"/>
    </row>
    <row r="117" spans="4:7" s="112" customFormat="1" ht="12.75">
      <c r="D117" s="205"/>
      <c r="E117" s="206"/>
      <c r="F117" s="205"/>
      <c r="G117" s="206"/>
    </row>
    <row r="118" spans="4:7" s="112" customFormat="1" ht="12.75">
      <c r="D118" s="205"/>
      <c r="E118" s="206"/>
      <c r="F118" s="205"/>
      <c r="G118" s="206"/>
    </row>
    <row r="119" spans="4:7" s="112" customFormat="1" ht="12.75">
      <c r="D119" s="205"/>
      <c r="E119" s="206"/>
      <c r="F119" s="205"/>
      <c r="G119" s="206"/>
    </row>
    <row r="120" spans="4:7" s="112" customFormat="1" ht="12.75">
      <c r="D120" s="205"/>
      <c r="E120" s="206"/>
      <c r="F120" s="205"/>
      <c r="G120" s="206"/>
    </row>
    <row r="121" spans="4:7" s="112" customFormat="1" ht="12.75">
      <c r="D121" s="205"/>
      <c r="E121" s="206"/>
      <c r="F121" s="205"/>
      <c r="G121" s="206"/>
    </row>
    <row r="122" spans="4:7" s="112" customFormat="1" ht="12.75">
      <c r="D122" s="205"/>
      <c r="E122" s="206"/>
      <c r="F122" s="205"/>
      <c r="G122" s="206"/>
    </row>
    <row r="123" spans="4:7" s="112" customFormat="1" ht="12.75">
      <c r="D123" s="205"/>
      <c r="E123" s="206"/>
      <c r="F123" s="205"/>
      <c r="G123" s="206"/>
    </row>
    <row r="124" spans="4:7" s="112" customFormat="1" ht="12.75">
      <c r="D124" s="205"/>
      <c r="E124" s="206"/>
      <c r="F124" s="205"/>
      <c r="G124" s="206"/>
    </row>
    <row r="125" spans="4:7" s="112" customFormat="1" ht="12.75">
      <c r="D125" s="205"/>
      <c r="E125" s="206"/>
      <c r="F125" s="205"/>
      <c r="G125" s="206"/>
    </row>
    <row r="126" spans="4:7" s="112" customFormat="1" ht="12.75">
      <c r="D126" s="205"/>
      <c r="E126" s="206"/>
      <c r="F126" s="205"/>
      <c r="G126" s="206"/>
    </row>
    <row r="127" spans="4:7" s="112" customFormat="1" ht="12.75">
      <c r="D127" s="205"/>
      <c r="E127" s="206"/>
      <c r="F127" s="205"/>
      <c r="G127" s="206"/>
    </row>
    <row r="128" spans="4:7" s="112" customFormat="1" ht="12.75">
      <c r="D128" s="205"/>
      <c r="E128" s="206"/>
      <c r="F128" s="205"/>
      <c r="G128" s="206"/>
    </row>
    <row r="129" spans="4:7" s="112" customFormat="1" ht="12.75">
      <c r="D129" s="205"/>
      <c r="E129" s="206"/>
      <c r="F129" s="205"/>
      <c r="G129" s="206"/>
    </row>
    <row r="130" spans="4:7" s="112" customFormat="1" ht="12.75">
      <c r="D130" s="205"/>
      <c r="E130" s="206"/>
      <c r="F130" s="205"/>
      <c r="G130" s="206"/>
    </row>
    <row r="131" spans="4:7" s="112" customFormat="1" ht="12.75">
      <c r="D131" s="205"/>
      <c r="E131" s="206"/>
      <c r="F131" s="205"/>
      <c r="G131" s="206"/>
    </row>
    <row r="132" spans="4:7" s="112" customFormat="1" ht="12.75">
      <c r="D132" s="205"/>
      <c r="E132" s="206"/>
      <c r="F132" s="205"/>
      <c r="G132" s="206"/>
    </row>
    <row r="133" spans="4:7" s="112" customFormat="1" ht="12.75">
      <c r="D133" s="205"/>
      <c r="E133" s="206"/>
      <c r="F133" s="205"/>
      <c r="G133" s="206"/>
    </row>
    <row r="134" spans="4:7" s="112" customFormat="1" ht="12.75">
      <c r="D134" s="205"/>
      <c r="E134" s="206"/>
      <c r="F134" s="205"/>
      <c r="G134" s="206"/>
    </row>
    <row r="135" spans="4:7" s="112" customFormat="1" ht="12.75">
      <c r="D135" s="205"/>
      <c r="E135" s="206"/>
      <c r="F135" s="205"/>
      <c r="G135" s="206"/>
    </row>
    <row r="136" spans="4:7" s="112" customFormat="1" ht="12.75">
      <c r="D136" s="205"/>
      <c r="E136" s="206"/>
      <c r="F136" s="205"/>
      <c r="G136" s="206"/>
    </row>
    <row r="137" spans="4:7" s="112" customFormat="1" ht="12.75">
      <c r="D137" s="205"/>
      <c r="E137" s="206"/>
      <c r="F137" s="205"/>
      <c r="G137" s="206"/>
    </row>
    <row r="138" spans="4:7" s="112" customFormat="1" ht="12.75">
      <c r="D138" s="205"/>
      <c r="E138" s="206"/>
      <c r="F138" s="205"/>
      <c r="G138" s="206"/>
    </row>
    <row r="139" spans="4:7" s="112" customFormat="1" ht="12.75">
      <c r="D139" s="205"/>
      <c r="E139" s="206"/>
      <c r="F139" s="205"/>
      <c r="G139" s="206"/>
    </row>
    <row r="140" spans="4:7" s="112" customFormat="1" ht="12.75">
      <c r="D140" s="205"/>
      <c r="E140" s="206"/>
      <c r="F140" s="205"/>
      <c r="G140" s="206"/>
    </row>
    <row r="141" spans="4:7" s="112" customFormat="1" ht="12.75">
      <c r="D141" s="205"/>
      <c r="E141" s="206"/>
      <c r="F141" s="205"/>
      <c r="G141" s="206"/>
    </row>
    <row r="142" spans="4:7" s="112" customFormat="1" ht="12.75">
      <c r="D142" s="205"/>
      <c r="E142" s="206"/>
      <c r="F142" s="205"/>
      <c r="G142" s="206"/>
    </row>
    <row r="143" spans="4:7" s="112" customFormat="1" ht="12.75">
      <c r="D143" s="205"/>
      <c r="E143" s="206"/>
      <c r="F143" s="205"/>
      <c r="G143" s="206"/>
    </row>
    <row r="144" spans="4:7" s="112" customFormat="1" ht="12.75">
      <c r="D144" s="205"/>
      <c r="E144" s="206"/>
      <c r="F144" s="205"/>
      <c r="G144" s="206"/>
    </row>
    <row r="145" spans="4:7" s="112" customFormat="1" ht="12.75">
      <c r="D145" s="205"/>
      <c r="E145" s="206"/>
      <c r="F145" s="205"/>
      <c r="G145" s="206"/>
    </row>
    <row r="146" spans="4:7" s="112" customFormat="1" ht="12.75">
      <c r="D146" s="205"/>
      <c r="E146" s="206"/>
      <c r="F146" s="205"/>
      <c r="G146" s="206"/>
    </row>
    <row r="147" spans="4:7" s="112" customFormat="1" ht="12.75">
      <c r="D147" s="205"/>
      <c r="E147" s="206"/>
      <c r="F147" s="205"/>
      <c r="G147" s="206"/>
    </row>
    <row r="148" spans="4:7" s="112" customFormat="1" ht="12.75">
      <c r="D148" s="205"/>
      <c r="E148" s="206"/>
      <c r="F148" s="205"/>
      <c r="G148" s="206"/>
    </row>
    <row r="149" spans="4:7" s="112" customFormat="1" ht="12.75">
      <c r="D149" s="205"/>
      <c r="E149" s="206"/>
      <c r="F149" s="205"/>
      <c r="G149" s="206"/>
    </row>
    <row r="150" spans="4:7" s="112" customFormat="1" ht="12.75">
      <c r="D150" s="205"/>
      <c r="E150" s="206"/>
      <c r="F150" s="205"/>
      <c r="G150" s="206"/>
    </row>
    <row r="151" spans="4:7" s="112" customFormat="1" ht="12.75">
      <c r="D151" s="205"/>
      <c r="E151" s="206"/>
      <c r="F151" s="205"/>
      <c r="G151" s="206"/>
    </row>
    <row r="152" spans="4:7" s="112" customFormat="1" ht="12.75">
      <c r="D152" s="205"/>
      <c r="E152" s="206"/>
      <c r="F152" s="205"/>
      <c r="G152" s="206"/>
    </row>
    <row r="153" spans="4:7" s="112" customFormat="1" ht="12.75">
      <c r="D153" s="205"/>
      <c r="E153" s="206"/>
      <c r="F153" s="205"/>
      <c r="G153" s="206"/>
    </row>
    <row r="154" spans="4:7" s="112" customFormat="1" ht="12.75">
      <c r="D154" s="205"/>
      <c r="E154" s="206"/>
      <c r="F154" s="205"/>
      <c r="G154" s="206"/>
    </row>
    <row r="155" spans="4:7" s="112" customFormat="1" ht="12.75">
      <c r="D155" s="205"/>
      <c r="E155" s="206"/>
      <c r="F155" s="205"/>
      <c r="G155" s="206"/>
    </row>
    <row r="156" spans="4:7" s="112" customFormat="1" ht="12.75">
      <c r="D156" s="205"/>
      <c r="E156" s="206"/>
      <c r="F156" s="205"/>
      <c r="G156" s="206"/>
    </row>
    <row r="157" spans="4:7" s="112" customFormat="1" ht="12.75">
      <c r="D157" s="205"/>
      <c r="E157" s="206"/>
      <c r="F157" s="205"/>
      <c r="G157" s="206"/>
    </row>
    <row r="158" spans="4:7" s="112" customFormat="1" ht="12.75">
      <c r="D158" s="205"/>
      <c r="E158" s="206"/>
      <c r="F158" s="205"/>
      <c r="G158" s="206"/>
    </row>
    <row r="159" spans="4:7" s="112" customFormat="1" ht="12.75">
      <c r="D159" s="205"/>
      <c r="E159" s="206"/>
      <c r="F159" s="205"/>
      <c r="G159" s="206"/>
    </row>
    <row r="160" spans="4:7" s="112" customFormat="1" ht="12.75">
      <c r="D160" s="205"/>
      <c r="E160" s="206"/>
      <c r="F160" s="205"/>
      <c r="G160" s="206"/>
    </row>
    <row r="161" spans="4:7" s="112" customFormat="1" ht="12.75">
      <c r="D161" s="205"/>
      <c r="E161" s="206"/>
      <c r="F161" s="205"/>
      <c r="G161" s="206"/>
    </row>
    <row r="162" spans="4:7" s="112" customFormat="1" ht="12.75">
      <c r="D162" s="205"/>
      <c r="E162" s="206"/>
      <c r="F162" s="205"/>
      <c r="G162" s="206"/>
    </row>
    <row r="163" spans="4:7" s="112" customFormat="1" ht="12.75">
      <c r="D163" s="205"/>
      <c r="E163" s="206"/>
      <c r="F163" s="205"/>
      <c r="G163" s="206"/>
    </row>
    <row r="164" spans="4:7" s="112" customFormat="1" ht="12.75">
      <c r="D164" s="205"/>
      <c r="E164" s="206"/>
      <c r="F164" s="205"/>
      <c r="G164" s="206"/>
    </row>
    <row r="165" spans="4:7" s="112" customFormat="1" ht="12.75">
      <c r="D165" s="205"/>
      <c r="E165" s="206"/>
      <c r="F165" s="205"/>
      <c r="G165" s="206"/>
    </row>
    <row r="166" spans="4:7" s="112" customFormat="1" ht="12.75">
      <c r="D166" s="205"/>
      <c r="E166" s="206"/>
      <c r="F166" s="205"/>
      <c r="G166" s="206"/>
    </row>
    <row r="167" spans="4:7" s="112" customFormat="1" ht="12.75">
      <c r="D167" s="205"/>
      <c r="E167" s="206"/>
      <c r="F167" s="205"/>
      <c r="G167" s="206"/>
    </row>
    <row r="168" spans="4:7" s="112" customFormat="1" ht="12.75">
      <c r="D168" s="205"/>
      <c r="E168" s="206"/>
      <c r="F168" s="205"/>
      <c r="G168" s="206"/>
    </row>
    <row r="169" spans="4:7" s="112" customFormat="1" ht="12.75">
      <c r="D169" s="205"/>
      <c r="E169" s="206"/>
      <c r="F169" s="205"/>
      <c r="G169" s="206"/>
    </row>
    <row r="170" spans="4:7" s="112" customFormat="1" ht="12.75">
      <c r="D170" s="205"/>
      <c r="E170" s="206"/>
      <c r="F170" s="205"/>
      <c r="G170" s="206"/>
    </row>
    <row r="171" spans="4:7" s="112" customFormat="1" ht="12.75">
      <c r="D171" s="205"/>
      <c r="E171" s="206"/>
      <c r="F171" s="205"/>
      <c r="G171" s="206"/>
    </row>
    <row r="172" spans="4:7" s="112" customFormat="1" ht="12.75">
      <c r="D172" s="205"/>
      <c r="E172" s="206"/>
      <c r="F172" s="205"/>
      <c r="G172" s="206"/>
    </row>
    <row r="173" spans="4:7" s="112" customFormat="1" ht="12.75">
      <c r="D173" s="205"/>
      <c r="E173" s="206"/>
      <c r="F173" s="205"/>
      <c r="G173" s="206"/>
    </row>
    <row r="174" spans="4:7" s="112" customFormat="1" ht="12.75">
      <c r="D174" s="205"/>
      <c r="E174" s="206"/>
      <c r="F174" s="205"/>
      <c r="G174" s="206"/>
    </row>
    <row r="175" spans="4:7" s="112" customFormat="1" ht="12.75">
      <c r="D175" s="205"/>
      <c r="E175" s="206"/>
      <c r="F175" s="205"/>
      <c r="G175" s="206"/>
    </row>
    <row r="176" spans="4:7" s="112" customFormat="1" ht="12.75">
      <c r="D176" s="205"/>
      <c r="E176" s="206"/>
      <c r="F176" s="205"/>
      <c r="G176" s="206"/>
    </row>
    <row r="177" spans="4:7" s="112" customFormat="1" ht="12.75">
      <c r="D177" s="205"/>
      <c r="E177" s="206"/>
      <c r="F177" s="205"/>
      <c r="G177" s="206"/>
    </row>
    <row r="178" spans="4:7" s="112" customFormat="1" ht="12.75">
      <c r="D178" s="205"/>
      <c r="E178" s="206"/>
      <c r="F178" s="205"/>
      <c r="G178" s="206"/>
    </row>
    <row r="179" spans="4:7" s="112" customFormat="1" ht="12.75">
      <c r="D179" s="205"/>
      <c r="E179" s="206"/>
      <c r="F179" s="205"/>
      <c r="G179" s="206"/>
    </row>
    <row r="180" spans="4:7" s="112" customFormat="1" ht="12.75">
      <c r="D180" s="205"/>
      <c r="E180" s="206"/>
      <c r="F180" s="205"/>
      <c r="G180" s="206"/>
    </row>
    <row r="181" spans="4:7" s="112" customFormat="1" ht="12.75">
      <c r="D181" s="205"/>
      <c r="E181" s="206"/>
      <c r="F181" s="205"/>
      <c r="G181" s="206"/>
    </row>
    <row r="182" spans="4:7" s="112" customFormat="1" ht="12.75">
      <c r="D182" s="205"/>
      <c r="E182" s="206"/>
      <c r="F182" s="205"/>
      <c r="G182" s="206"/>
    </row>
    <row r="183" spans="4:7" s="112" customFormat="1" ht="12.75">
      <c r="D183" s="205"/>
      <c r="E183" s="206"/>
      <c r="F183" s="205"/>
      <c r="G183" s="206"/>
    </row>
    <row r="184" spans="4:7" s="112" customFormat="1" ht="12.75">
      <c r="D184" s="205"/>
      <c r="E184" s="206"/>
      <c r="F184" s="205"/>
      <c r="G184" s="206"/>
    </row>
    <row r="185" spans="4:7" s="112" customFormat="1" ht="12.75">
      <c r="D185" s="205"/>
      <c r="E185" s="206"/>
      <c r="F185" s="205"/>
      <c r="G185" s="206"/>
    </row>
    <row r="186" spans="4:7" s="112" customFormat="1" ht="12.75">
      <c r="D186" s="205"/>
      <c r="E186" s="206"/>
      <c r="F186" s="205"/>
      <c r="G186" s="206"/>
    </row>
    <row r="187" spans="4:7" s="112" customFormat="1" ht="12.75">
      <c r="D187" s="205"/>
      <c r="E187" s="206"/>
      <c r="F187" s="205"/>
      <c r="G187" s="206"/>
    </row>
    <row r="188" spans="4:7" s="112" customFormat="1" ht="12.75">
      <c r="D188" s="205"/>
      <c r="E188" s="206"/>
      <c r="F188" s="205"/>
      <c r="G188" s="206"/>
    </row>
    <row r="189" spans="4:7" s="112" customFormat="1" ht="12.75">
      <c r="D189" s="205"/>
      <c r="E189" s="206"/>
      <c r="F189" s="205"/>
      <c r="G189" s="206"/>
    </row>
    <row r="190" spans="4:7" s="112" customFormat="1" ht="12.75">
      <c r="D190" s="205"/>
      <c r="E190" s="206"/>
      <c r="F190" s="205"/>
      <c r="G190" s="206"/>
    </row>
    <row r="191" spans="4:7" s="112" customFormat="1" ht="12.75">
      <c r="D191" s="205"/>
      <c r="E191" s="206"/>
      <c r="F191" s="205"/>
      <c r="G191" s="206"/>
    </row>
    <row r="192" spans="4:7" s="112" customFormat="1" ht="12.75">
      <c r="D192" s="205"/>
      <c r="E192" s="206"/>
      <c r="F192" s="205"/>
      <c r="G192" s="206"/>
    </row>
    <row r="193" spans="4:7" s="112" customFormat="1" ht="12.75">
      <c r="D193" s="205"/>
      <c r="E193" s="206"/>
      <c r="F193" s="205"/>
      <c r="G193" s="206"/>
    </row>
    <row r="194" spans="4:7" s="112" customFormat="1" ht="12.75">
      <c r="D194" s="205"/>
      <c r="E194" s="206"/>
      <c r="F194" s="205"/>
      <c r="G194" s="206"/>
    </row>
    <row r="195" spans="4:7" s="112" customFormat="1" ht="12.75">
      <c r="D195" s="205"/>
      <c r="E195" s="206"/>
      <c r="F195" s="205"/>
      <c r="G195" s="206"/>
    </row>
    <row r="196" spans="4:7" s="112" customFormat="1" ht="12.75">
      <c r="D196" s="205"/>
      <c r="E196" s="206"/>
      <c r="F196" s="205"/>
      <c r="G196" s="206"/>
    </row>
    <row r="197" spans="4:7" s="112" customFormat="1" ht="12.75">
      <c r="D197" s="205"/>
      <c r="E197" s="206"/>
      <c r="F197" s="205"/>
      <c r="G197" s="206"/>
    </row>
    <row r="198" spans="4:7" s="112" customFormat="1" ht="12.75">
      <c r="D198" s="205"/>
      <c r="E198" s="206"/>
      <c r="F198" s="205"/>
      <c r="G198" s="206"/>
    </row>
    <row r="199" spans="4:7" s="112" customFormat="1" ht="12.75">
      <c r="D199" s="205"/>
      <c r="E199" s="206"/>
      <c r="F199" s="205"/>
      <c r="G199" s="206"/>
    </row>
    <row r="200" spans="4:7" s="112" customFormat="1" ht="12.75">
      <c r="D200" s="205"/>
      <c r="E200" s="206"/>
      <c r="F200" s="205"/>
      <c r="G200" s="206"/>
    </row>
    <row r="201" spans="4:7" s="112" customFormat="1" ht="12.75">
      <c r="D201" s="205"/>
      <c r="E201" s="206"/>
      <c r="F201" s="205"/>
      <c r="G201" s="206"/>
    </row>
    <row r="202" spans="4:7" s="112" customFormat="1" ht="12.75">
      <c r="D202" s="205"/>
      <c r="E202" s="206"/>
      <c r="F202" s="205"/>
      <c r="G202" s="206"/>
    </row>
    <row r="203" spans="4:7" s="112" customFormat="1" ht="12.75">
      <c r="D203" s="205"/>
      <c r="E203" s="206"/>
      <c r="F203" s="205"/>
      <c r="G203" s="206"/>
    </row>
    <row r="204" spans="4:7" s="112" customFormat="1" ht="12.75">
      <c r="D204" s="205"/>
      <c r="E204" s="206"/>
      <c r="F204" s="205"/>
      <c r="G204" s="206"/>
    </row>
    <row r="205" spans="4:7" s="112" customFormat="1" ht="12.75">
      <c r="D205" s="205"/>
      <c r="E205" s="206"/>
      <c r="F205" s="205"/>
      <c r="G205" s="206"/>
    </row>
    <row r="206" spans="4:7" s="112" customFormat="1" ht="12.75">
      <c r="D206" s="205"/>
      <c r="E206" s="206"/>
      <c r="F206" s="205"/>
      <c r="G206" s="206"/>
    </row>
    <row r="207" spans="4:7" s="112" customFormat="1" ht="12.75">
      <c r="D207" s="205"/>
      <c r="E207" s="206"/>
      <c r="F207" s="205"/>
      <c r="G207" s="206"/>
    </row>
    <row r="208" spans="4:7" s="112" customFormat="1" ht="12.75">
      <c r="D208" s="205"/>
      <c r="E208" s="206"/>
      <c r="F208" s="205"/>
      <c r="G208" s="206"/>
    </row>
    <row r="209" spans="4:7" s="112" customFormat="1" ht="12.75">
      <c r="D209" s="205"/>
      <c r="E209" s="206"/>
      <c r="F209" s="205"/>
      <c r="G209" s="206"/>
    </row>
    <row r="210" spans="4:7" s="112" customFormat="1" ht="12.75">
      <c r="D210" s="205"/>
      <c r="E210" s="206"/>
      <c r="F210" s="205"/>
      <c r="G210" s="206"/>
    </row>
    <row r="211" spans="4:7" s="112" customFormat="1" ht="12.75">
      <c r="D211" s="205"/>
      <c r="E211" s="206"/>
      <c r="F211" s="205"/>
      <c r="G211" s="206"/>
    </row>
    <row r="212" spans="4:7" s="112" customFormat="1" ht="12.75">
      <c r="D212" s="205"/>
      <c r="E212" s="206"/>
      <c r="F212" s="205"/>
      <c r="G212" s="206"/>
    </row>
    <row r="213" spans="4:7" s="112" customFormat="1" ht="12.75">
      <c r="D213" s="205"/>
      <c r="E213" s="206"/>
      <c r="F213" s="205"/>
      <c r="G213" s="206"/>
    </row>
    <row r="214" spans="4:7" s="112" customFormat="1" ht="12.75">
      <c r="D214" s="205"/>
      <c r="E214" s="206"/>
      <c r="F214" s="205"/>
      <c r="G214" s="206"/>
    </row>
    <row r="215" spans="4:7" s="112" customFormat="1" ht="12.75">
      <c r="D215" s="205"/>
      <c r="E215" s="206"/>
      <c r="F215" s="205"/>
      <c r="G215" s="206"/>
    </row>
    <row r="216" spans="4:7" s="112" customFormat="1" ht="12.75">
      <c r="D216" s="205"/>
      <c r="E216" s="206"/>
      <c r="F216" s="205"/>
      <c r="G216" s="206"/>
    </row>
    <row r="217" spans="4:7" s="112" customFormat="1" ht="12.75">
      <c r="D217" s="205"/>
      <c r="E217" s="206"/>
      <c r="F217" s="205"/>
      <c r="G217" s="206"/>
    </row>
    <row r="218" spans="4:7" s="112" customFormat="1" ht="12.75">
      <c r="D218" s="205"/>
      <c r="E218" s="206"/>
      <c r="F218" s="205"/>
      <c r="G218" s="206"/>
    </row>
    <row r="219" spans="4:7" s="112" customFormat="1" ht="12.75">
      <c r="D219" s="205"/>
      <c r="E219" s="206"/>
      <c r="F219" s="205"/>
      <c r="G219" s="206"/>
    </row>
    <row r="220" spans="4:7" s="112" customFormat="1" ht="12.75">
      <c r="D220" s="205"/>
      <c r="E220" s="206"/>
      <c r="F220" s="205"/>
      <c r="G220" s="206"/>
    </row>
    <row r="221" spans="4:7" s="112" customFormat="1" ht="12.75">
      <c r="D221" s="205"/>
      <c r="E221" s="206"/>
      <c r="F221" s="205"/>
      <c r="G221" s="206"/>
    </row>
    <row r="222" spans="4:7" s="112" customFormat="1" ht="12.75">
      <c r="D222" s="205"/>
      <c r="E222" s="206"/>
      <c r="F222" s="205"/>
      <c r="G222" s="206"/>
    </row>
    <row r="223" spans="4:7" s="112" customFormat="1" ht="12.75">
      <c r="D223" s="205"/>
      <c r="E223" s="206"/>
      <c r="F223" s="205"/>
      <c r="G223" s="206"/>
    </row>
    <row r="224" spans="4:7" s="112" customFormat="1" ht="12.75">
      <c r="D224" s="205"/>
      <c r="E224" s="206"/>
      <c r="F224" s="205"/>
      <c r="G224" s="206"/>
    </row>
    <row r="225" spans="4:7" s="112" customFormat="1" ht="12.75">
      <c r="D225" s="205"/>
      <c r="E225" s="206"/>
      <c r="F225" s="205"/>
      <c r="G225" s="206"/>
    </row>
    <row r="226" spans="4:7" s="112" customFormat="1" ht="12.75">
      <c r="D226" s="205"/>
      <c r="E226" s="206"/>
      <c r="F226" s="205"/>
      <c r="G226" s="206"/>
    </row>
    <row r="227" spans="4:7" s="112" customFormat="1" ht="12.75">
      <c r="D227" s="205"/>
      <c r="E227" s="206"/>
      <c r="F227" s="205"/>
      <c r="G227" s="206"/>
    </row>
    <row r="228" spans="4:7" s="112" customFormat="1" ht="12.75">
      <c r="D228" s="205"/>
      <c r="E228" s="206"/>
      <c r="F228" s="205"/>
      <c r="G228" s="206"/>
    </row>
    <row r="229" spans="4:7" s="112" customFormat="1" ht="12.75">
      <c r="D229" s="205"/>
      <c r="E229" s="206"/>
      <c r="F229" s="205"/>
      <c r="G229" s="206"/>
    </row>
    <row r="230" spans="4:7" s="112" customFormat="1" ht="12.75">
      <c r="D230" s="205"/>
      <c r="E230" s="206"/>
      <c r="F230" s="205"/>
      <c r="G230" s="206"/>
    </row>
    <row r="231" spans="4:7" s="112" customFormat="1" ht="12.75">
      <c r="D231" s="205"/>
      <c r="E231" s="206"/>
      <c r="F231" s="205"/>
      <c r="G231" s="206"/>
    </row>
    <row r="232" spans="4:7" s="112" customFormat="1" ht="12.75">
      <c r="D232" s="205"/>
      <c r="E232" s="206"/>
      <c r="F232" s="205"/>
      <c r="G232" s="206"/>
    </row>
    <row r="233" spans="4:7" s="112" customFormat="1" ht="12.75">
      <c r="D233" s="205"/>
      <c r="E233" s="206"/>
      <c r="F233" s="205"/>
      <c r="G233" s="206"/>
    </row>
    <row r="234" spans="4:7" s="112" customFormat="1" ht="12.75">
      <c r="D234" s="205"/>
      <c r="E234" s="206"/>
      <c r="F234" s="205"/>
      <c r="G234" s="206"/>
    </row>
    <row r="235" spans="4:7" s="112" customFormat="1" ht="12.75">
      <c r="D235" s="205"/>
      <c r="E235" s="206"/>
      <c r="F235" s="205"/>
      <c r="G235" s="206"/>
    </row>
    <row r="236" spans="4:7" s="112" customFormat="1" ht="12.75">
      <c r="D236" s="205"/>
      <c r="E236" s="206"/>
      <c r="F236" s="205"/>
      <c r="G236" s="206"/>
    </row>
    <row r="237" spans="4:7" s="112" customFormat="1" ht="12.75">
      <c r="D237" s="205"/>
      <c r="E237" s="206"/>
      <c r="F237" s="205"/>
      <c r="G237" s="206"/>
    </row>
    <row r="238" spans="4:7" s="112" customFormat="1" ht="12.75">
      <c r="D238" s="205"/>
      <c r="E238" s="206"/>
      <c r="F238" s="205"/>
      <c r="G238" s="206"/>
    </row>
    <row r="239" spans="4:7" s="112" customFormat="1" ht="12.75">
      <c r="D239" s="205"/>
      <c r="E239" s="206"/>
      <c r="F239" s="205"/>
      <c r="G239" s="206"/>
    </row>
    <row r="240" spans="4:7" s="112" customFormat="1" ht="12.75">
      <c r="D240" s="205"/>
      <c r="E240" s="206"/>
      <c r="F240" s="205"/>
      <c r="G240" s="206"/>
    </row>
    <row r="241" spans="4:7" s="112" customFormat="1" ht="12.75">
      <c r="D241" s="205"/>
      <c r="E241" s="206"/>
      <c r="F241" s="205"/>
      <c r="G241" s="206"/>
    </row>
    <row r="242" spans="4:7" s="112" customFormat="1" ht="12.75">
      <c r="D242" s="205"/>
      <c r="E242" s="206"/>
      <c r="F242" s="205"/>
      <c r="G242" s="206"/>
    </row>
    <row r="243" spans="4:7" s="112" customFormat="1" ht="12.75">
      <c r="D243" s="205"/>
      <c r="E243" s="206"/>
      <c r="F243" s="205"/>
      <c r="G243" s="206"/>
    </row>
    <row r="244" spans="4:7" s="112" customFormat="1" ht="12.75">
      <c r="D244" s="205"/>
      <c r="E244" s="206"/>
      <c r="F244" s="205"/>
      <c r="G244" s="206"/>
    </row>
    <row r="245" spans="4:7" s="112" customFormat="1" ht="12.75">
      <c r="D245" s="205"/>
      <c r="E245" s="206"/>
      <c r="F245" s="205"/>
      <c r="G245" s="206"/>
    </row>
    <row r="246" spans="4:7" s="112" customFormat="1" ht="12.75">
      <c r="D246" s="205"/>
      <c r="E246" s="206"/>
      <c r="F246" s="205"/>
      <c r="G246" s="206"/>
    </row>
    <row r="247" spans="4:7" s="112" customFormat="1" ht="12.75">
      <c r="D247" s="205"/>
      <c r="E247" s="206"/>
      <c r="F247" s="205"/>
      <c r="G247" s="206"/>
    </row>
    <row r="248" spans="4:7" s="112" customFormat="1" ht="12.75">
      <c r="D248" s="205"/>
      <c r="E248" s="206"/>
      <c r="F248" s="205"/>
      <c r="G248" s="206"/>
    </row>
    <row r="249" spans="4:7" s="112" customFormat="1" ht="12.75">
      <c r="D249" s="205"/>
      <c r="E249" s="206"/>
      <c r="F249" s="205"/>
      <c r="G249" s="206"/>
    </row>
    <row r="250" spans="4:7" s="112" customFormat="1" ht="12.75">
      <c r="D250" s="205"/>
      <c r="E250" s="206"/>
      <c r="F250" s="205"/>
      <c r="G250" s="206"/>
    </row>
    <row r="251" spans="4:7" s="112" customFormat="1" ht="12.75">
      <c r="D251" s="205"/>
      <c r="E251" s="206"/>
      <c r="F251" s="205"/>
      <c r="G251" s="206"/>
    </row>
    <row r="252" spans="4:7" s="112" customFormat="1" ht="12.75">
      <c r="D252" s="205"/>
      <c r="E252" s="206"/>
      <c r="F252" s="205"/>
      <c r="G252" s="206"/>
    </row>
    <row r="253" spans="4:7" s="112" customFormat="1" ht="12.75">
      <c r="D253" s="205"/>
      <c r="E253" s="206"/>
      <c r="F253" s="205"/>
      <c r="G253" s="206"/>
    </row>
    <row r="254" spans="4:7" s="112" customFormat="1" ht="12.75">
      <c r="D254" s="205"/>
      <c r="E254" s="206"/>
      <c r="F254" s="205"/>
      <c r="G254" s="206"/>
    </row>
    <row r="255" spans="4:7" s="112" customFormat="1" ht="12.75">
      <c r="D255" s="205"/>
      <c r="E255" s="206"/>
      <c r="F255" s="205"/>
      <c r="G255" s="206"/>
    </row>
    <row r="256" spans="4:7" s="112" customFormat="1" ht="12.75">
      <c r="D256" s="205"/>
      <c r="E256" s="206"/>
      <c r="F256" s="205"/>
      <c r="G256" s="206"/>
    </row>
    <row r="257" spans="4:7" s="112" customFormat="1" ht="12.75">
      <c r="D257" s="205"/>
      <c r="E257" s="206"/>
      <c r="F257" s="205"/>
      <c r="G257" s="206"/>
    </row>
    <row r="258" spans="4:7" s="112" customFormat="1" ht="12.75">
      <c r="D258" s="205"/>
      <c r="E258" s="206"/>
      <c r="F258" s="205"/>
      <c r="G258" s="206"/>
    </row>
    <row r="259" spans="4:7" s="112" customFormat="1" ht="12.75">
      <c r="D259" s="205"/>
      <c r="E259" s="206"/>
      <c r="F259" s="205"/>
      <c r="G259" s="206"/>
    </row>
    <row r="260" spans="4:7" s="112" customFormat="1" ht="12.75">
      <c r="D260" s="205"/>
      <c r="E260" s="206"/>
      <c r="F260" s="205"/>
      <c r="G260" s="206"/>
    </row>
    <row r="261" spans="4:7" s="112" customFormat="1" ht="12.75">
      <c r="D261" s="205"/>
      <c r="E261" s="206"/>
      <c r="F261" s="205"/>
      <c r="G261" s="206"/>
    </row>
    <row r="262" spans="4:7" s="112" customFormat="1" ht="12.75">
      <c r="D262" s="205"/>
      <c r="E262" s="206"/>
      <c r="F262" s="205"/>
      <c r="G262" s="206"/>
    </row>
    <row r="263" spans="4:7" s="112" customFormat="1" ht="12.75">
      <c r="D263" s="205"/>
      <c r="E263" s="206"/>
      <c r="F263" s="205"/>
      <c r="G263" s="206"/>
    </row>
    <row r="264" spans="4:7" s="112" customFormat="1" ht="12.75">
      <c r="D264" s="205"/>
      <c r="E264" s="206"/>
      <c r="F264" s="205"/>
      <c r="G264" s="206"/>
    </row>
    <row r="265" spans="4:7" s="112" customFormat="1" ht="12.75">
      <c r="D265" s="205"/>
      <c r="E265" s="206"/>
      <c r="F265" s="205"/>
      <c r="G265" s="206"/>
    </row>
    <row r="266" spans="4:7" s="112" customFormat="1" ht="12.75">
      <c r="D266" s="205"/>
      <c r="E266" s="206"/>
      <c r="F266" s="205"/>
      <c r="G266" s="206"/>
    </row>
    <row r="267" spans="4:7" s="112" customFormat="1" ht="12.75">
      <c r="D267" s="205"/>
      <c r="E267" s="206"/>
      <c r="F267" s="205"/>
      <c r="G267" s="206"/>
    </row>
    <row r="268" spans="4:7" s="112" customFormat="1" ht="12.75">
      <c r="D268" s="205"/>
      <c r="E268" s="206"/>
      <c r="F268" s="205"/>
      <c r="G268" s="206"/>
    </row>
    <row r="269" spans="4:7" s="112" customFormat="1" ht="12.75">
      <c r="D269" s="205"/>
      <c r="E269" s="206"/>
      <c r="F269" s="205"/>
      <c r="G269" s="206"/>
    </row>
    <row r="270" spans="4:7" s="112" customFormat="1" ht="12.75">
      <c r="D270" s="205"/>
      <c r="E270" s="206"/>
      <c r="F270" s="205"/>
      <c r="G270" s="206"/>
    </row>
    <row r="271" spans="4:7" s="112" customFormat="1" ht="12.75">
      <c r="D271" s="205"/>
      <c r="E271" s="206"/>
      <c r="F271" s="205"/>
      <c r="G271" s="206"/>
    </row>
    <row r="272" spans="4:7" s="112" customFormat="1" ht="12.75">
      <c r="D272" s="205"/>
      <c r="E272" s="206"/>
      <c r="F272" s="205"/>
      <c r="G272" s="206"/>
    </row>
    <row r="273" spans="4:7" s="112" customFormat="1" ht="12.75">
      <c r="D273" s="205"/>
      <c r="E273" s="206"/>
      <c r="F273" s="205"/>
      <c r="G273" s="206"/>
    </row>
    <row r="274" spans="4:7" s="112" customFormat="1" ht="12.75">
      <c r="D274" s="205"/>
      <c r="E274" s="206"/>
      <c r="F274" s="205"/>
      <c r="G274" s="206"/>
    </row>
    <row r="275" spans="4:7" s="112" customFormat="1" ht="12.75">
      <c r="D275" s="205"/>
      <c r="E275" s="206"/>
      <c r="F275" s="205"/>
      <c r="G275" s="206"/>
    </row>
    <row r="276" spans="4:7" s="112" customFormat="1" ht="12.75">
      <c r="D276" s="205"/>
      <c r="E276" s="206"/>
      <c r="F276" s="205"/>
      <c r="G276" s="206"/>
    </row>
    <row r="277" spans="4:7" s="112" customFormat="1" ht="12.75">
      <c r="D277" s="205"/>
      <c r="E277" s="206"/>
      <c r="F277" s="205"/>
      <c r="G277" s="206"/>
    </row>
    <row r="278" spans="4:7" s="112" customFormat="1" ht="12.75">
      <c r="D278" s="205"/>
      <c r="E278" s="206"/>
      <c r="F278" s="205"/>
      <c r="G278" s="206"/>
    </row>
    <row r="279" spans="4:7" s="112" customFormat="1" ht="12.75">
      <c r="D279" s="205"/>
      <c r="E279" s="206"/>
      <c r="F279" s="205"/>
      <c r="G279" s="206"/>
    </row>
    <row r="280" spans="4:7" s="112" customFormat="1" ht="12.75">
      <c r="D280" s="205"/>
      <c r="E280" s="206"/>
      <c r="F280" s="205"/>
      <c r="G280" s="206"/>
    </row>
    <row r="281" spans="4:7" s="112" customFormat="1" ht="12.75">
      <c r="D281" s="205"/>
      <c r="E281" s="206"/>
      <c r="F281" s="205"/>
      <c r="G281" s="206"/>
    </row>
    <row r="282" spans="4:7" s="112" customFormat="1" ht="12.75">
      <c r="D282" s="205"/>
      <c r="E282" s="206"/>
      <c r="F282" s="205"/>
      <c r="G282" s="206"/>
    </row>
    <row r="283" spans="4:7" s="112" customFormat="1" ht="12.75">
      <c r="D283" s="205"/>
      <c r="E283" s="206"/>
      <c r="F283" s="205"/>
      <c r="G283" s="206"/>
    </row>
    <row r="284" spans="4:7" s="112" customFormat="1" ht="12.75">
      <c r="D284" s="205"/>
      <c r="E284" s="206"/>
      <c r="F284" s="205"/>
      <c r="G284" s="206"/>
    </row>
    <row r="285" spans="4:7" s="112" customFormat="1" ht="12.75">
      <c r="D285" s="205"/>
      <c r="E285" s="206"/>
      <c r="F285" s="205"/>
      <c r="G285" s="206"/>
    </row>
    <row r="286" spans="4:7" s="112" customFormat="1" ht="12.75">
      <c r="D286" s="205"/>
      <c r="E286" s="206"/>
      <c r="F286" s="205"/>
      <c r="G286" s="206"/>
    </row>
    <row r="287" spans="4:7" s="112" customFormat="1" ht="12.75">
      <c r="D287" s="205"/>
      <c r="E287" s="206"/>
      <c r="F287" s="205"/>
      <c r="G287" s="206"/>
    </row>
    <row r="288" spans="4:7" s="112" customFormat="1" ht="12.75">
      <c r="D288" s="205"/>
      <c r="E288" s="206"/>
      <c r="F288" s="205"/>
      <c r="G288" s="206"/>
    </row>
    <row r="289" spans="4:7" s="112" customFormat="1" ht="12.75">
      <c r="D289" s="205"/>
      <c r="E289" s="206"/>
      <c r="F289" s="205"/>
      <c r="G289" s="206"/>
    </row>
    <row r="290" spans="4:7" s="112" customFormat="1" ht="12.75">
      <c r="D290" s="205"/>
      <c r="E290" s="206"/>
      <c r="F290" s="205"/>
      <c r="G290" s="206"/>
    </row>
    <row r="291" spans="4:7" s="112" customFormat="1" ht="12.75">
      <c r="D291" s="205"/>
      <c r="E291" s="206"/>
      <c r="F291" s="205"/>
      <c r="G291" s="206"/>
    </row>
    <row r="292" spans="4:7" s="112" customFormat="1" ht="12.75">
      <c r="D292" s="205"/>
      <c r="E292" s="206"/>
      <c r="F292" s="205"/>
      <c r="G292" s="206"/>
    </row>
    <row r="293" spans="4:7" s="112" customFormat="1" ht="12.75">
      <c r="D293" s="205"/>
      <c r="E293" s="206"/>
      <c r="F293" s="205"/>
      <c r="G293" s="206"/>
    </row>
    <row r="294" spans="4:7" s="112" customFormat="1" ht="12.75">
      <c r="D294" s="205"/>
      <c r="E294" s="206"/>
      <c r="F294" s="205"/>
      <c r="G294" s="206"/>
    </row>
    <row r="295" spans="4:7" s="112" customFormat="1" ht="12.75">
      <c r="D295" s="205"/>
      <c r="E295" s="206"/>
      <c r="F295" s="205"/>
      <c r="G295" s="206"/>
    </row>
    <row r="296" spans="4:7" s="112" customFormat="1" ht="12.75">
      <c r="D296" s="205"/>
      <c r="E296" s="206"/>
      <c r="F296" s="205"/>
      <c r="G296" s="206"/>
    </row>
    <row r="297" spans="4:7" s="112" customFormat="1" ht="12.75">
      <c r="D297" s="205"/>
      <c r="E297" s="206"/>
      <c r="F297" s="205"/>
      <c r="G297" s="206"/>
    </row>
    <row r="298" spans="4:7" s="112" customFormat="1" ht="12.75">
      <c r="D298" s="205"/>
      <c r="E298" s="206"/>
      <c r="F298" s="205"/>
      <c r="G298" s="206"/>
    </row>
    <row r="299" spans="4:7" s="112" customFormat="1" ht="12.75">
      <c r="D299" s="205"/>
      <c r="E299" s="206"/>
      <c r="F299" s="205"/>
      <c r="G299" s="206"/>
    </row>
    <row r="300" spans="4:7" s="112" customFormat="1" ht="12.75">
      <c r="D300" s="205"/>
      <c r="E300" s="206"/>
      <c r="F300" s="205"/>
      <c r="G300" s="206"/>
    </row>
    <row r="301" spans="4:7" s="112" customFormat="1" ht="12.75">
      <c r="D301" s="205"/>
      <c r="E301" s="206"/>
      <c r="F301" s="205"/>
      <c r="G301" s="206"/>
    </row>
    <row r="302" spans="4:7" s="112" customFormat="1" ht="12.75">
      <c r="D302" s="205"/>
      <c r="E302" s="206"/>
      <c r="F302" s="205"/>
      <c r="G302" s="206"/>
    </row>
    <row r="303" spans="4:7" s="112" customFormat="1" ht="12.75">
      <c r="D303" s="205"/>
      <c r="E303" s="206"/>
      <c r="F303" s="205"/>
      <c r="G303" s="206"/>
    </row>
    <row r="304" spans="4:7" s="112" customFormat="1" ht="12.75">
      <c r="D304" s="205"/>
      <c r="E304" s="206"/>
      <c r="F304" s="205"/>
      <c r="G304" s="206"/>
    </row>
    <row r="305" spans="4:7" s="112" customFormat="1" ht="12.75">
      <c r="D305" s="205"/>
      <c r="E305" s="206"/>
      <c r="F305" s="205"/>
      <c r="G305" s="206"/>
    </row>
    <row r="306" spans="4:7" s="112" customFormat="1" ht="12.75">
      <c r="D306" s="205"/>
      <c r="E306" s="206"/>
      <c r="F306" s="205"/>
      <c r="G306" s="206"/>
    </row>
    <row r="307" spans="4:7" s="112" customFormat="1" ht="12.75">
      <c r="D307" s="205"/>
      <c r="E307" s="206"/>
      <c r="F307" s="205"/>
      <c r="G307" s="206"/>
    </row>
    <row r="308" spans="4:7" s="112" customFormat="1" ht="12.75">
      <c r="D308" s="205"/>
      <c r="E308" s="206"/>
      <c r="F308" s="205"/>
      <c r="G308" s="206"/>
    </row>
    <row r="309" spans="4:7" s="112" customFormat="1" ht="12.75">
      <c r="D309" s="205"/>
      <c r="E309" s="206"/>
      <c r="F309" s="205"/>
      <c r="G309" s="206"/>
    </row>
    <row r="310" spans="4:7" s="112" customFormat="1" ht="12.75">
      <c r="D310" s="205"/>
      <c r="E310" s="206"/>
      <c r="F310" s="205"/>
      <c r="G310" s="206"/>
    </row>
    <row r="311" spans="4:7" s="112" customFormat="1" ht="12.75">
      <c r="D311" s="205"/>
      <c r="E311" s="206"/>
      <c r="F311" s="205"/>
      <c r="G311" s="206"/>
    </row>
    <row r="312" spans="4:7" s="112" customFormat="1" ht="12.75">
      <c r="D312" s="205"/>
      <c r="E312" s="206"/>
      <c r="F312" s="205"/>
      <c r="G312" s="206"/>
    </row>
    <row r="313" spans="4:7" s="112" customFormat="1" ht="12.75">
      <c r="D313" s="205"/>
      <c r="E313" s="206"/>
      <c r="F313" s="205"/>
      <c r="G313" s="206"/>
    </row>
    <row r="314" spans="4:7" s="112" customFormat="1" ht="12.75">
      <c r="D314" s="205"/>
      <c r="E314" s="206"/>
      <c r="F314" s="205"/>
      <c r="G314" s="206"/>
    </row>
    <row r="315" spans="4:7" s="112" customFormat="1" ht="12.75">
      <c r="D315" s="205"/>
      <c r="E315" s="206"/>
      <c r="F315" s="205"/>
      <c r="G315" s="206"/>
    </row>
    <row r="316" spans="4:7" s="112" customFormat="1" ht="12.75">
      <c r="D316" s="205"/>
      <c r="E316" s="206"/>
      <c r="F316" s="205"/>
      <c r="G316" s="206"/>
    </row>
    <row r="317" spans="4:7" s="112" customFormat="1" ht="12.75">
      <c r="D317" s="205"/>
      <c r="E317" s="206"/>
      <c r="F317" s="205"/>
      <c r="G317" s="206"/>
    </row>
    <row r="318" spans="4:7" s="112" customFormat="1" ht="12.75">
      <c r="D318" s="205"/>
      <c r="E318" s="206"/>
      <c r="F318" s="205"/>
      <c r="G318" s="206"/>
    </row>
    <row r="319" spans="4:7" s="112" customFormat="1" ht="12.75">
      <c r="D319" s="205"/>
      <c r="E319" s="206"/>
      <c r="F319" s="205"/>
      <c r="G319" s="206"/>
    </row>
    <row r="320" spans="4:7" s="112" customFormat="1" ht="12.75">
      <c r="D320" s="205"/>
      <c r="E320" s="206"/>
      <c r="F320" s="205"/>
      <c r="G320" s="206"/>
    </row>
    <row r="321" spans="4:7" s="112" customFormat="1" ht="12.75">
      <c r="D321" s="205"/>
      <c r="E321" s="206"/>
      <c r="F321" s="205"/>
      <c r="G321" s="206"/>
    </row>
    <row r="322" spans="4:7" s="112" customFormat="1" ht="12.75">
      <c r="D322" s="205"/>
      <c r="E322" s="206"/>
      <c r="F322" s="205"/>
      <c r="G322" s="206"/>
    </row>
    <row r="323" spans="4:7" s="112" customFormat="1" ht="12.75">
      <c r="D323" s="205"/>
      <c r="E323" s="206"/>
      <c r="F323" s="205"/>
      <c r="G323" s="206"/>
    </row>
    <row r="324" spans="4:7" s="112" customFormat="1" ht="12.75">
      <c r="D324" s="205"/>
      <c r="E324" s="206"/>
      <c r="F324" s="205"/>
      <c r="G324" s="206"/>
    </row>
    <row r="325" spans="4:7" s="112" customFormat="1" ht="12.75">
      <c r="D325" s="205"/>
      <c r="E325" s="206"/>
      <c r="F325" s="205"/>
      <c r="G325" s="206"/>
    </row>
    <row r="326" spans="4:7" s="112" customFormat="1" ht="12.75">
      <c r="D326" s="205"/>
      <c r="E326" s="206"/>
      <c r="F326" s="205"/>
      <c r="G326" s="206"/>
    </row>
    <row r="327" spans="4:7" s="112" customFormat="1" ht="12.75">
      <c r="D327" s="205"/>
      <c r="E327" s="206"/>
      <c r="F327" s="205"/>
      <c r="G327" s="206"/>
    </row>
    <row r="328" spans="4:7" s="112" customFormat="1" ht="12.75">
      <c r="D328" s="205"/>
      <c r="E328" s="206"/>
      <c r="F328" s="205"/>
      <c r="G328" s="206"/>
    </row>
    <row r="329" spans="4:7" s="112" customFormat="1" ht="12.75">
      <c r="D329" s="205"/>
      <c r="E329" s="206"/>
      <c r="F329" s="205"/>
      <c r="G329" s="206"/>
    </row>
    <row r="330" spans="4:7" s="112" customFormat="1" ht="12.75">
      <c r="D330" s="205"/>
      <c r="E330" s="206"/>
      <c r="F330" s="205"/>
      <c r="G330" s="206"/>
    </row>
    <row r="331" spans="4:7" s="112" customFormat="1" ht="12.75">
      <c r="D331" s="205"/>
      <c r="E331" s="206"/>
      <c r="F331" s="205"/>
      <c r="G331" s="206"/>
    </row>
    <row r="332" spans="4:7" s="112" customFormat="1" ht="12.75">
      <c r="D332" s="205"/>
      <c r="E332" s="206"/>
      <c r="F332" s="205"/>
      <c r="G332" s="206"/>
    </row>
    <row r="333" spans="4:7" s="112" customFormat="1" ht="12.75">
      <c r="D333" s="205"/>
      <c r="E333" s="206"/>
      <c r="F333" s="205"/>
      <c r="G333" s="206"/>
    </row>
    <row r="334" spans="4:7" s="112" customFormat="1" ht="12.75">
      <c r="D334" s="205"/>
      <c r="E334" s="206"/>
      <c r="F334" s="205"/>
      <c r="G334" s="206"/>
    </row>
    <row r="335" spans="4:7" s="112" customFormat="1" ht="12.75">
      <c r="D335" s="205"/>
      <c r="E335" s="206"/>
      <c r="F335" s="205"/>
      <c r="G335" s="206"/>
    </row>
    <row r="336" spans="4:7" s="112" customFormat="1" ht="12.75">
      <c r="D336" s="205"/>
      <c r="E336" s="206"/>
      <c r="F336" s="205"/>
      <c r="G336" s="206"/>
    </row>
    <row r="337" spans="4:7" s="112" customFormat="1" ht="12.75">
      <c r="D337" s="205"/>
      <c r="E337" s="206"/>
      <c r="F337" s="205"/>
      <c r="G337" s="206"/>
    </row>
    <row r="338" spans="4:7" s="112" customFormat="1" ht="12.75">
      <c r="D338" s="205"/>
      <c r="E338" s="206"/>
      <c r="F338" s="205"/>
      <c r="G338" s="206"/>
    </row>
    <row r="339" spans="4:7" s="112" customFormat="1" ht="12.75">
      <c r="D339" s="205"/>
      <c r="E339" s="206"/>
      <c r="F339" s="205"/>
      <c r="G339" s="206"/>
    </row>
    <row r="340" spans="4:7" s="112" customFormat="1" ht="12.75">
      <c r="D340" s="205"/>
      <c r="E340" s="206"/>
      <c r="F340" s="205"/>
      <c r="G340" s="206"/>
    </row>
    <row r="341" spans="4:7" s="112" customFormat="1" ht="12.75">
      <c r="D341" s="205"/>
      <c r="E341" s="206"/>
      <c r="F341" s="205"/>
      <c r="G341" s="206"/>
    </row>
    <row r="342" spans="4:7" s="112" customFormat="1" ht="12.75">
      <c r="D342" s="205"/>
      <c r="E342" s="206"/>
      <c r="F342" s="205"/>
      <c r="G342" s="206"/>
    </row>
    <row r="343" spans="4:7" s="112" customFormat="1" ht="12.75">
      <c r="D343" s="205"/>
      <c r="E343" s="206"/>
      <c r="F343" s="205"/>
      <c r="G343" s="206"/>
    </row>
    <row r="344" spans="4:7" s="112" customFormat="1" ht="12.75">
      <c r="D344" s="205"/>
      <c r="E344" s="206"/>
      <c r="F344" s="205"/>
      <c r="G344" s="206"/>
    </row>
    <row r="345" spans="4:7" s="112" customFormat="1" ht="12.75">
      <c r="D345" s="205"/>
      <c r="E345" s="206"/>
      <c r="F345" s="205"/>
      <c r="G345" s="206"/>
    </row>
    <row r="346" spans="4:7" s="112" customFormat="1" ht="12.75">
      <c r="D346" s="205"/>
      <c r="E346" s="206"/>
      <c r="F346" s="205"/>
      <c r="G346" s="206"/>
    </row>
    <row r="347" spans="4:7" s="112" customFormat="1" ht="12.75">
      <c r="D347" s="205"/>
      <c r="E347" s="206"/>
      <c r="F347" s="205"/>
      <c r="G347" s="206"/>
    </row>
    <row r="348" spans="4:7" s="112" customFormat="1" ht="12.75">
      <c r="D348" s="205"/>
      <c r="E348" s="206"/>
      <c r="F348" s="205"/>
      <c r="G348" s="206"/>
    </row>
    <row r="349" spans="4:7" s="112" customFormat="1" ht="12.75">
      <c r="D349" s="205"/>
      <c r="E349" s="206"/>
      <c r="F349" s="205"/>
      <c r="G349" s="206"/>
    </row>
    <row r="350" spans="4:7" s="112" customFormat="1" ht="12.75">
      <c r="D350" s="205"/>
      <c r="E350" s="206"/>
      <c r="F350" s="205"/>
      <c r="G350" s="206"/>
    </row>
    <row r="351" spans="4:7" s="112" customFormat="1" ht="12.75">
      <c r="D351" s="205"/>
      <c r="E351" s="206"/>
      <c r="F351" s="205"/>
      <c r="G351" s="206"/>
    </row>
    <row r="352" spans="4:7" s="112" customFormat="1" ht="12.75">
      <c r="D352" s="205"/>
      <c r="E352" s="206"/>
      <c r="F352" s="205"/>
      <c r="G352" s="206"/>
    </row>
    <row r="353" spans="4:7" s="112" customFormat="1" ht="12.75">
      <c r="D353" s="205"/>
      <c r="E353" s="206"/>
      <c r="F353" s="205"/>
      <c r="G353" s="206"/>
    </row>
    <row r="354" spans="4:7" s="112" customFormat="1" ht="12.75">
      <c r="D354" s="205"/>
      <c r="E354" s="206"/>
      <c r="F354" s="205"/>
      <c r="G354" s="206"/>
    </row>
    <row r="355" spans="4:7" s="112" customFormat="1" ht="12.75">
      <c r="D355" s="205"/>
      <c r="E355" s="206"/>
      <c r="F355" s="205"/>
      <c r="G355" s="206"/>
    </row>
    <row r="356" spans="4:7" s="112" customFormat="1" ht="12.75">
      <c r="D356" s="205"/>
      <c r="E356" s="206"/>
      <c r="F356" s="205"/>
      <c r="G356" s="206"/>
    </row>
    <row r="357" spans="4:7" s="112" customFormat="1" ht="12.75">
      <c r="D357" s="205"/>
      <c r="E357" s="206"/>
      <c r="F357" s="205"/>
      <c r="G357" s="206"/>
    </row>
    <row r="358" spans="4:7" s="112" customFormat="1" ht="12.75">
      <c r="D358" s="205"/>
      <c r="E358" s="206"/>
      <c r="F358" s="205"/>
      <c r="G358" s="206"/>
    </row>
    <row r="359" spans="4:7" s="112" customFormat="1" ht="12.75">
      <c r="D359" s="205"/>
      <c r="E359" s="206"/>
      <c r="F359" s="205"/>
      <c r="G359" s="206"/>
    </row>
    <row r="360" spans="4:7" s="112" customFormat="1" ht="12.75">
      <c r="D360" s="205"/>
      <c r="E360" s="206"/>
      <c r="F360" s="205"/>
      <c r="G360" s="206"/>
    </row>
    <row r="361" spans="4:7" s="112" customFormat="1" ht="12.75">
      <c r="D361" s="205"/>
      <c r="E361" s="206"/>
      <c r="F361" s="205"/>
      <c r="G361" s="206"/>
    </row>
    <row r="362" spans="4:7" s="112" customFormat="1" ht="12.75">
      <c r="D362" s="205"/>
      <c r="E362" s="206"/>
      <c r="F362" s="205"/>
      <c r="G362" s="206"/>
    </row>
    <row r="363" spans="4:7" s="112" customFormat="1" ht="12.75">
      <c r="D363" s="205"/>
      <c r="E363" s="206"/>
      <c r="F363" s="205"/>
      <c r="G363" s="206"/>
    </row>
    <row r="364" spans="4:7" s="112" customFormat="1" ht="12.75">
      <c r="D364" s="205"/>
      <c r="E364" s="206"/>
      <c r="F364" s="205"/>
      <c r="G364" s="206"/>
    </row>
    <row r="365" spans="4:7" s="112" customFormat="1" ht="12.75">
      <c r="D365" s="205"/>
      <c r="E365" s="206"/>
      <c r="F365" s="205"/>
      <c r="G365" s="206"/>
    </row>
    <row r="366" spans="4:7" s="112" customFormat="1" ht="12.75">
      <c r="D366" s="205"/>
      <c r="E366" s="206"/>
      <c r="F366" s="205"/>
      <c r="G366" s="206"/>
    </row>
    <row r="367" spans="4:7" s="112" customFormat="1" ht="12.75">
      <c r="D367" s="205"/>
      <c r="E367" s="206"/>
      <c r="F367" s="205"/>
      <c r="G367" s="206"/>
    </row>
    <row r="368" spans="4:7" s="112" customFormat="1" ht="12.75">
      <c r="D368" s="205"/>
      <c r="E368" s="206"/>
      <c r="F368" s="205"/>
      <c r="G368" s="206"/>
    </row>
    <row r="369" spans="4:7" s="112" customFormat="1" ht="12.75">
      <c r="D369" s="205"/>
      <c r="E369" s="206"/>
      <c r="F369" s="205"/>
      <c r="G369" s="206"/>
    </row>
    <row r="370" spans="4:7" s="112" customFormat="1" ht="12.75">
      <c r="D370" s="205"/>
      <c r="E370" s="206"/>
      <c r="F370" s="205"/>
      <c r="G370" s="206"/>
    </row>
    <row r="371" spans="4:7" s="112" customFormat="1" ht="12.75">
      <c r="D371" s="205"/>
      <c r="E371" s="206"/>
      <c r="F371" s="205"/>
      <c r="G371" s="206"/>
    </row>
    <row r="372" spans="4:7" s="112" customFormat="1" ht="12.75">
      <c r="D372" s="205"/>
      <c r="E372" s="206"/>
      <c r="F372" s="205"/>
      <c r="G372" s="206"/>
    </row>
    <row r="373" spans="4:7" s="112" customFormat="1" ht="12.75">
      <c r="D373" s="205"/>
      <c r="E373" s="206"/>
      <c r="F373" s="205"/>
      <c r="G373" s="206"/>
    </row>
    <row r="374" spans="4:7" s="112" customFormat="1" ht="12.75">
      <c r="D374" s="205"/>
      <c r="E374" s="206"/>
      <c r="F374" s="205"/>
      <c r="G374" s="206"/>
    </row>
    <row r="375" spans="4:7" s="112" customFormat="1" ht="12.75">
      <c r="D375" s="205"/>
      <c r="E375" s="206"/>
      <c r="F375" s="205"/>
      <c r="G375" s="206"/>
    </row>
    <row r="376" spans="4:7" s="112" customFormat="1" ht="12.75">
      <c r="D376" s="205"/>
      <c r="E376" s="206"/>
      <c r="F376" s="205"/>
      <c r="G376" s="206"/>
    </row>
    <row r="377" spans="4:7" s="112" customFormat="1" ht="12.75">
      <c r="D377" s="205"/>
      <c r="E377" s="206"/>
      <c r="F377" s="205"/>
      <c r="G377" s="206"/>
    </row>
    <row r="378" spans="4:7" s="112" customFormat="1" ht="12.75">
      <c r="D378" s="205"/>
      <c r="E378" s="206"/>
      <c r="F378" s="205"/>
      <c r="G378" s="206"/>
    </row>
    <row r="379" spans="4:7" s="112" customFormat="1" ht="12.75">
      <c r="D379" s="205"/>
      <c r="E379" s="206"/>
      <c r="F379" s="205"/>
      <c r="G379" s="206"/>
    </row>
    <row r="380" spans="4:7" s="112" customFormat="1" ht="12.75">
      <c r="D380" s="205"/>
      <c r="E380" s="206"/>
      <c r="F380" s="205"/>
      <c r="G380" s="206"/>
    </row>
    <row r="381" spans="4:7" s="112" customFormat="1" ht="12.75">
      <c r="D381" s="205"/>
      <c r="E381" s="206"/>
      <c r="F381" s="205"/>
      <c r="G381" s="206"/>
    </row>
    <row r="382" spans="4:7" s="112" customFormat="1" ht="12.75">
      <c r="D382" s="205"/>
      <c r="E382" s="206"/>
      <c r="F382" s="205"/>
      <c r="G382" s="206"/>
    </row>
    <row r="383" spans="4:7" s="112" customFormat="1" ht="12.75">
      <c r="D383" s="205"/>
      <c r="E383" s="206"/>
      <c r="F383" s="205"/>
      <c r="G383" s="206"/>
    </row>
    <row r="384" spans="4:7" s="112" customFormat="1" ht="12.75">
      <c r="D384" s="205"/>
      <c r="E384" s="206"/>
      <c r="F384" s="205"/>
      <c r="G384" s="206"/>
    </row>
    <row r="385" spans="4:7" s="112" customFormat="1" ht="12.75">
      <c r="D385" s="205"/>
      <c r="E385" s="206"/>
      <c r="F385" s="205"/>
      <c r="G385" s="206"/>
    </row>
    <row r="386" spans="4:7" s="112" customFormat="1" ht="12.75">
      <c r="D386" s="205"/>
      <c r="E386" s="206"/>
      <c r="F386" s="205"/>
      <c r="G386" s="206"/>
    </row>
    <row r="387" spans="4:7" s="112" customFormat="1" ht="12.75">
      <c r="D387" s="205"/>
      <c r="E387" s="206"/>
      <c r="F387" s="205"/>
      <c r="G387" s="206"/>
    </row>
    <row r="388" spans="4:7" s="112" customFormat="1" ht="12.75">
      <c r="D388" s="205"/>
      <c r="E388" s="206"/>
      <c r="F388" s="205"/>
      <c r="G388" s="206"/>
    </row>
    <row r="389" spans="4:7" s="112" customFormat="1" ht="12.75">
      <c r="D389" s="205"/>
      <c r="E389" s="206"/>
      <c r="F389" s="205"/>
      <c r="G389" s="206"/>
    </row>
    <row r="390" spans="4:7" s="112" customFormat="1" ht="12.75">
      <c r="D390" s="205"/>
      <c r="E390" s="206"/>
      <c r="F390" s="205"/>
      <c r="G390" s="206"/>
    </row>
    <row r="391" spans="4:7" s="112" customFormat="1" ht="12.75">
      <c r="D391" s="205"/>
      <c r="E391" s="206"/>
      <c r="F391" s="205"/>
      <c r="G391" s="206"/>
    </row>
    <row r="392" spans="4:7" s="112" customFormat="1" ht="12.75">
      <c r="D392" s="205"/>
      <c r="E392" s="206"/>
      <c r="F392" s="205"/>
      <c r="G392" s="206"/>
    </row>
    <row r="393" spans="4:7" s="112" customFormat="1" ht="12.75">
      <c r="D393" s="205"/>
      <c r="E393" s="206"/>
      <c r="F393" s="205"/>
      <c r="G393" s="206"/>
    </row>
    <row r="394" spans="4:7" s="112" customFormat="1" ht="12.75">
      <c r="D394" s="205"/>
      <c r="E394" s="206"/>
      <c r="F394" s="205"/>
      <c r="G394" s="206"/>
    </row>
    <row r="395" spans="4:7" s="112" customFormat="1" ht="12.75">
      <c r="D395" s="205"/>
      <c r="E395" s="206"/>
      <c r="F395" s="205"/>
      <c r="G395" s="206"/>
    </row>
    <row r="396" spans="4:7" s="112" customFormat="1" ht="12.75">
      <c r="D396" s="205"/>
      <c r="E396" s="206"/>
      <c r="F396" s="205"/>
      <c r="G396" s="206"/>
    </row>
    <row r="397" spans="4:7" s="112" customFormat="1" ht="12.75">
      <c r="D397" s="205"/>
      <c r="E397" s="206"/>
      <c r="F397" s="205"/>
      <c r="G397" s="206"/>
    </row>
    <row r="398" spans="4:7" s="112" customFormat="1" ht="12.75">
      <c r="D398" s="205"/>
      <c r="E398" s="206"/>
      <c r="F398" s="205"/>
      <c r="G398" s="206"/>
    </row>
    <row r="399" spans="4:7" s="112" customFormat="1" ht="12.75">
      <c r="D399" s="205"/>
      <c r="E399" s="206"/>
      <c r="F399" s="205"/>
      <c r="G399" s="206"/>
    </row>
    <row r="400" spans="4:7" s="112" customFormat="1" ht="12.75">
      <c r="D400" s="205"/>
      <c r="E400" s="206"/>
      <c r="F400" s="205"/>
      <c r="G400" s="206"/>
    </row>
    <row r="401" spans="4:7" s="112" customFormat="1" ht="12.75">
      <c r="D401" s="205"/>
      <c r="E401" s="206"/>
      <c r="F401" s="205"/>
      <c r="G401" s="206"/>
    </row>
    <row r="402" spans="4:7" s="112" customFormat="1" ht="12.75">
      <c r="D402" s="205"/>
      <c r="E402" s="206"/>
      <c r="F402" s="205"/>
      <c r="G402" s="206"/>
    </row>
    <row r="403" spans="4:7" s="112" customFormat="1" ht="12.75">
      <c r="D403" s="205"/>
      <c r="E403" s="206"/>
      <c r="F403" s="205"/>
      <c r="G403" s="206"/>
    </row>
    <row r="404" spans="4:7" s="112" customFormat="1" ht="12.75">
      <c r="D404" s="205"/>
      <c r="E404" s="206"/>
      <c r="F404" s="205"/>
      <c r="G404" s="206"/>
    </row>
    <row r="405" spans="4:7" s="112" customFormat="1" ht="12.75">
      <c r="D405" s="205"/>
      <c r="E405" s="206"/>
      <c r="F405" s="205"/>
      <c r="G405" s="206"/>
    </row>
    <row r="406" spans="4:7" s="112" customFormat="1" ht="12.75">
      <c r="D406" s="205"/>
      <c r="E406" s="206"/>
      <c r="F406" s="205"/>
      <c r="G406" s="206"/>
    </row>
    <row r="407" spans="4:7" s="112" customFormat="1" ht="12.75">
      <c r="D407" s="205"/>
      <c r="E407" s="206"/>
      <c r="F407" s="205"/>
      <c r="G407" s="206"/>
    </row>
    <row r="408" spans="4:7" s="112" customFormat="1" ht="12.75">
      <c r="D408" s="205"/>
      <c r="E408" s="206"/>
      <c r="F408" s="205"/>
      <c r="G408" s="206"/>
    </row>
    <row r="409" spans="4:7" s="112" customFormat="1" ht="12.75">
      <c r="D409" s="205"/>
      <c r="E409" s="206"/>
      <c r="F409" s="205"/>
      <c r="G409" s="206"/>
    </row>
    <row r="410" spans="4:7" s="112" customFormat="1" ht="12.75">
      <c r="D410" s="205"/>
      <c r="E410" s="206"/>
      <c r="F410" s="205"/>
      <c r="G410" s="206"/>
    </row>
    <row r="411" spans="4:7" s="112" customFormat="1" ht="12.75">
      <c r="D411" s="205"/>
      <c r="E411" s="206"/>
      <c r="F411" s="205"/>
      <c r="G411" s="206"/>
    </row>
    <row r="412" spans="4:7" s="112" customFormat="1" ht="12.75">
      <c r="D412" s="205"/>
      <c r="E412" s="206"/>
      <c r="F412" s="205"/>
      <c r="G412" s="206"/>
    </row>
    <row r="413" spans="4:7" s="112" customFormat="1" ht="12.75">
      <c r="D413" s="205"/>
      <c r="E413" s="206"/>
      <c r="F413" s="205"/>
      <c r="G413" s="206"/>
    </row>
    <row r="414" spans="4:7" s="112" customFormat="1" ht="12.75">
      <c r="D414" s="205"/>
      <c r="E414" s="206"/>
      <c r="F414" s="205"/>
      <c r="G414" s="206"/>
    </row>
    <row r="415" spans="4:7" s="112" customFormat="1" ht="12.75">
      <c r="D415" s="205"/>
      <c r="E415" s="206"/>
      <c r="F415" s="205"/>
      <c r="G415" s="206"/>
    </row>
    <row r="416" spans="4:7" s="112" customFormat="1" ht="12.75">
      <c r="D416" s="205"/>
      <c r="E416" s="206"/>
      <c r="F416" s="205"/>
      <c r="G416" s="206"/>
    </row>
    <row r="417" spans="4:7" s="112" customFormat="1" ht="12.75">
      <c r="D417" s="205"/>
      <c r="E417" s="206"/>
      <c r="F417" s="205"/>
      <c r="G417" s="206"/>
    </row>
    <row r="418" spans="4:7" s="112" customFormat="1" ht="12.75">
      <c r="D418" s="205"/>
      <c r="E418" s="206"/>
      <c r="F418" s="205"/>
      <c r="G418" s="206"/>
    </row>
    <row r="419" spans="4:7" s="112" customFormat="1" ht="12.75">
      <c r="D419" s="205"/>
      <c r="E419" s="206"/>
      <c r="F419" s="205"/>
      <c r="G419" s="206"/>
    </row>
    <row r="420" spans="4:7" s="112" customFormat="1" ht="12.75">
      <c r="D420" s="205"/>
      <c r="E420" s="206"/>
      <c r="F420" s="205"/>
      <c r="G420" s="206"/>
    </row>
    <row r="421" spans="4:7" s="112" customFormat="1" ht="12.75">
      <c r="D421" s="205"/>
      <c r="E421" s="206"/>
      <c r="F421" s="205"/>
      <c r="G421" s="206"/>
    </row>
    <row r="422" spans="4:7" s="112" customFormat="1" ht="12.75">
      <c r="D422" s="205"/>
      <c r="E422" s="206"/>
      <c r="F422" s="205"/>
      <c r="G422" s="206"/>
    </row>
    <row r="423" spans="4:7" s="112" customFormat="1" ht="12.75">
      <c r="D423" s="205"/>
      <c r="E423" s="206"/>
      <c r="F423" s="205"/>
      <c r="G423" s="206"/>
    </row>
    <row r="424" spans="4:7" s="112" customFormat="1" ht="12.75">
      <c r="D424" s="205"/>
      <c r="E424" s="206"/>
      <c r="F424" s="205"/>
      <c r="G424" s="206"/>
    </row>
    <row r="425" spans="4:7" s="112" customFormat="1" ht="12.75">
      <c r="D425" s="205"/>
      <c r="E425" s="206"/>
      <c r="F425" s="205"/>
      <c r="G425" s="206"/>
    </row>
    <row r="426" spans="4:7" s="112" customFormat="1" ht="12.75">
      <c r="D426" s="205"/>
      <c r="E426" s="206"/>
      <c r="F426" s="205"/>
      <c r="G426" s="206"/>
    </row>
    <row r="427" spans="4:7" s="112" customFormat="1" ht="12.75">
      <c r="D427" s="205"/>
      <c r="E427" s="206"/>
      <c r="F427" s="205"/>
      <c r="G427" s="206"/>
    </row>
    <row r="428" spans="4:7" s="112" customFormat="1" ht="12.75">
      <c r="D428" s="205"/>
      <c r="E428" s="206"/>
      <c r="F428" s="205"/>
      <c r="G428" s="206"/>
    </row>
    <row r="429" spans="4:7" s="112" customFormat="1" ht="12.75">
      <c r="D429" s="205"/>
      <c r="E429" s="206"/>
      <c r="F429" s="205"/>
      <c r="G429" s="206"/>
    </row>
    <row r="430" spans="4:7" s="112" customFormat="1" ht="12.75">
      <c r="D430" s="205"/>
      <c r="E430" s="206"/>
      <c r="F430" s="205"/>
      <c r="G430" s="206"/>
    </row>
    <row r="431" spans="4:7" s="112" customFormat="1" ht="12.75">
      <c r="D431" s="205"/>
      <c r="E431" s="206"/>
      <c r="F431" s="205"/>
      <c r="G431" s="206"/>
    </row>
    <row r="432" spans="4:7" s="112" customFormat="1" ht="12.75">
      <c r="D432" s="205"/>
      <c r="E432" s="206"/>
      <c r="F432" s="205"/>
      <c r="G432" s="206"/>
    </row>
    <row r="433" spans="4:7" s="112" customFormat="1" ht="12.75">
      <c r="D433" s="205"/>
      <c r="E433" s="206"/>
      <c r="F433" s="205"/>
      <c r="G433" s="206"/>
    </row>
    <row r="434" spans="4:7" s="112" customFormat="1" ht="12.75">
      <c r="D434" s="205"/>
      <c r="E434" s="206"/>
      <c r="F434" s="205"/>
      <c r="G434" s="206"/>
    </row>
    <row r="435" spans="4:7" s="112" customFormat="1" ht="12.75">
      <c r="D435" s="205"/>
      <c r="E435" s="206"/>
      <c r="F435" s="205"/>
      <c r="G435" s="206"/>
    </row>
    <row r="436" spans="4:7" s="112" customFormat="1" ht="12.75">
      <c r="D436" s="205"/>
      <c r="E436" s="206"/>
      <c r="F436" s="205"/>
      <c r="G436" s="206"/>
    </row>
    <row r="437" spans="4:7" s="112" customFormat="1" ht="12.75">
      <c r="D437" s="205"/>
      <c r="E437" s="206"/>
      <c r="F437" s="205"/>
      <c r="G437" s="206"/>
    </row>
    <row r="438" spans="4:7" s="112" customFormat="1" ht="12.75">
      <c r="D438" s="205"/>
      <c r="E438" s="206"/>
      <c r="F438" s="205"/>
      <c r="G438" s="206"/>
    </row>
    <row r="439" spans="4:7" s="112" customFormat="1" ht="12.75">
      <c r="D439" s="205"/>
      <c r="E439" s="206"/>
      <c r="F439" s="205"/>
      <c r="G439" s="206"/>
    </row>
    <row r="440" spans="4:7" s="112" customFormat="1" ht="12.75">
      <c r="D440" s="205"/>
      <c r="E440" s="206"/>
      <c r="F440" s="205"/>
      <c r="G440" s="206"/>
    </row>
    <row r="441" spans="4:7" s="112" customFormat="1" ht="12.75">
      <c r="D441" s="205"/>
      <c r="E441" s="206"/>
      <c r="F441" s="205"/>
      <c r="G441" s="206"/>
    </row>
    <row r="442" spans="4:7" s="112" customFormat="1" ht="12.75">
      <c r="D442" s="205"/>
      <c r="E442" s="206"/>
      <c r="F442" s="205"/>
      <c r="G442" s="206"/>
    </row>
    <row r="443" spans="4:7" s="112" customFormat="1" ht="12.75">
      <c r="D443" s="205"/>
      <c r="E443" s="206"/>
      <c r="F443" s="205"/>
      <c r="G443" s="206"/>
    </row>
    <row r="444" spans="4:7" s="112" customFormat="1" ht="12.75">
      <c r="D444" s="205"/>
      <c r="E444" s="206"/>
      <c r="F444" s="205"/>
      <c r="G444" s="206"/>
    </row>
    <row r="445" spans="4:7" s="112" customFormat="1" ht="12.75">
      <c r="D445" s="205"/>
      <c r="E445" s="206"/>
      <c r="F445" s="205"/>
      <c r="G445" s="206"/>
    </row>
    <row r="446" spans="4:7" s="112" customFormat="1" ht="12.75">
      <c r="D446" s="205"/>
      <c r="E446" s="206"/>
      <c r="F446" s="205"/>
      <c r="G446" s="206"/>
    </row>
    <row r="447" spans="4:7" s="112" customFormat="1" ht="12.75">
      <c r="D447" s="205"/>
      <c r="E447" s="206"/>
      <c r="F447" s="205"/>
      <c r="G447" s="206"/>
    </row>
    <row r="448" spans="4:7" s="112" customFormat="1" ht="12.75">
      <c r="D448" s="205"/>
      <c r="E448" s="206"/>
      <c r="F448" s="205"/>
      <c r="G448" s="206"/>
    </row>
    <row r="449" spans="4:7" s="112" customFormat="1" ht="12.75">
      <c r="D449" s="205"/>
      <c r="E449" s="206"/>
      <c r="F449" s="205"/>
      <c r="G449" s="206"/>
    </row>
    <row r="450" spans="4:7" s="112" customFormat="1" ht="12.75">
      <c r="D450" s="205"/>
      <c r="E450" s="206"/>
      <c r="F450" s="205"/>
      <c r="G450" s="206"/>
    </row>
    <row r="451" spans="4:7" s="112" customFormat="1" ht="12.75">
      <c r="D451" s="205"/>
      <c r="E451" s="206"/>
      <c r="F451" s="205"/>
      <c r="G451" s="206"/>
    </row>
    <row r="452" spans="4:7" s="112" customFormat="1" ht="12.75">
      <c r="D452" s="205"/>
      <c r="E452" s="206"/>
      <c r="F452" s="205"/>
      <c r="G452" s="206"/>
    </row>
    <row r="453" spans="4:7" s="112" customFormat="1" ht="12.75">
      <c r="D453" s="205"/>
      <c r="E453" s="206"/>
      <c r="F453" s="205"/>
      <c r="G453" s="206"/>
    </row>
    <row r="454" spans="4:7" s="112" customFormat="1" ht="12.75">
      <c r="D454" s="205"/>
      <c r="E454" s="206"/>
      <c r="F454" s="205"/>
      <c r="G454" s="206"/>
    </row>
    <row r="455" spans="4:7" s="112" customFormat="1" ht="12.75">
      <c r="D455" s="205"/>
      <c r="E455" s="206"/>
      <c r="F455" s="205"/>
      <c r="G455" s="206"/>
    </row>
    <row r="456" spans="4:7" s="112" customFormat="1" ht="12.75">
      <c r="D456" s="205"/>
      <c r="E456" s="206"/>
      <c r="F456" s="205"/>
      <c r="G456" s="206"/>
    </row>
    <row r="457" spans="4:7" s="112" customFormat="1" ht="12.75">
      <c r="D457" s="205"/>
      <c r="E457" s="206"/>
      <c r="F457" s="205"/>
      <c r="G457" s="206"/>
    </row>
    <row r="458" spans="4:7" s="112" customFormat="1" ht="12.75">
      <c r="D458" s="205"/>
      <c r="E458" s="206"/>
      <c r="F458" s="205"/>
      <c r="G458" s="206"/>
    </row>
    <row r="459" spans="4:7" s="112" customFormat="1" ht="12.75">
      <c r="D459" s="205"/>
      <c r="E459" s="206"/>
      <c r="F459" s="205"/>
      <c r="G459" s="206"/>
    </row>
    <row r="460" spans="4:7" s="112" customFormat="1" ht="12.75">
      <c r="D460" s="205"/>
      <c r="E460" s="206"/>
      <c r="F460" s="205"/>
      <c r="G460" s="206"/>
    </row>
    <row r="461" spans="4:7" s="112" customFormat="1" ht="12.75">
      <c r="D461" s="205"/>
      <c r="E461" s="206"/>
      <c r="F461" s="205"/>
      <c r="G461" s="206"/>
    </row>
    <row r="462" spans="4:7" s="112" customFormat="1" ht="12.75">
      <c r="D462" s="205"/>
      <c r="E462" s="206"/>
      <c r="F462" s="205"/>
      <c r="G462" s="206"/>
    </row>
    <row r="463" spans="4:7" s="112" customFormat="1" ht="12.75">
      <c r="D463" s="205"/>
      <c r="E463" s="206"/>
      <c r="F463" s="205"/>
      <c r="G463" s="206"/>
    </row>
    <row r="464" spans="4:7" s="112" customFormat="1" ht="12.75">
      <c r="D464" s="205"/>
      <c r="E464" s="206"/>
      <c r="F464" s="205"/>
      <c r="G464" s="206"/>
    </row>
    <row r="465" spans="4:7" s="112" customFormat="1" ht="12.75">
      <c r="D465" s="205"/>
      <c r="E465" s="206"/>
      <c r="F465" s="205"/>
      <c r="G465" s="206"/>
    </row>
    <row r="466" spans="4:7" s="112" customFormat="1" ht="12.75">
      <c r="D466" s="205"/>
      <c r="E466" s="206"/>
      <c r="F466" s="205"/>
      <c r="G466" s="206"/>
    </row>
    <row r="467" spans="4:7" s="112" customFormat="1" ht="12.75">
      <c r="D467" s="205"/>
      <c r="E467" s="206"/>
      <c r="F467" s="205"/>
      <c r="G467" s="206"/>
    </row>
    <row r="468" spans="4:7" s="112" customFormat="1" ht="12.75">
      <c r="D468" s="205"/>
      <c r="E468" s="206"/>
      <c r="F468" s="205"/>
      <c r="G468" s="206"/>
    </row>
    <row r="469" spans="4:7" s="112" customFormat="1" ht="12.75">
      <c r="D469" s="205"/>
      <c r="E469" s="206"/>
      <c r="F469" s="205"/>
      <c r="G469" s="206"/>
    </row>
    <row r="470" spans="4:7" s="112" customFormat="1" ht="12.75">
      <c r="D470" s="205"/>
      <c r="E470" s="206"/>
      <c r="F470" s="205"/>
      <c r="G470" s="206"/>
    </row>
    <row r="471" spans="4:7" s="112" customFormat="1" ht="12.75">
      <c r="D471" s="205"/>
      <c r="E471" s="206"/>
      <c r="F471" s="205"/>
      <c r="G471" s="206"/>
    </row>
    <row r="472" spans="4:7" s="112" customFormat="1" ht="12.75">
      <c r="D472" s="205"/>
      <c r="E472" s="206"/>
      <c r="F472" s="205"/>
      <c r="G472" s="206"/>
    </row>
    <row r="473" spans="4:7" s="112" customFormat="1" ht="12.75">
      <c r="D473" s="205"/>
      <c r="E473" s="206"/>
      <c r="F473" s="205"/>
      <c r="G473" s="206"/>
    </row>
    <row r="474" spans="4:7" s="112" customFormat="1" ht="12.75">
      <c r="D474" s="205"/>
      <c r="E474" s="206"/>
      <c r="F474" s="205"/>
      <c r="G474" s="206"/>
    </row>
    <row r="475" spans="4:7" s="112" customFormat="1" ht="12.75">
      <c r="D475" s="205"/>
      <c r="E475" s="206"/>
      <c r="F475" s="205"/>
      <c r="G475" s="206"/>
    </row>
    <row r="476" spans="4:7" s="112" customFormat="1" ht="12.75">
      <c r="D476" s="205"/>
      <c r="E476" s="206"/>
      <c r="F476" s="205"/>
      <c r="G476" s="206"/>
    </row>
    <row r="477" spans="4:7" s="112" customFormat="1" ht="12.75">
      <c r="D477" s="205"/>
      <c r="E477" s="206"/>
      <c r="F477" s="205"/>
      <c r="G477" s="206"/>
    </row>
    <row r="478" spans="4:7" s="112" customFormat="1" ht="12.75">
      <c r="D478" s="205"/>
      <c r="E478" s="206"/>
      <c r="F478" s="205"/>
      <c r="G478" s="206"/>
    </row>
    <row r="479" spans="4:7" s="112" customFormat="1" ht="12.75">
      <c r="D479" s="205"/>
      <c r="E479" s="206"/>
      <c r="F479" s="205"/>
      <c r="G479" s="206"/>
    </row>
    <row r="480" spans="4:7" s="112" customFormat="1" ht="12.75">
      <c r="D480" s="205"/>
      <c r="E480" s="206"/>
      <c r="F480" s="205"/>
      <c r="G480" s="206"/>
    </row>
    <row r="481" spans="4:7" s="112" customFormat="1" ht="12.75">
      <c r="D481" s="205"/>
      <c r="E481" s="206"/>
      <c r="F481" s="205"/>
      <c r="G481" s="206"/>
    </row>
    <row r="482" spans="4:7" s="112" customFormat="1" ht="12.75">
      <c r="D482" s="205"/>
      <c r="E482" s="206"/>
      <c r="F482" s="205"/>
      <c r="G482" s="206"/>
    </row>
    <row r="483" spans="4:7" s="112" customFormat="1" ht="12.75">
      <c r="D483" s="205"/>
      <c r="E483" s="206"/>
      <c r="F483" s="205"/>
      <c r="G483" s="206"/>
    </row>
    <row r="484" spans="4:7" s="112" customFormat="1" ht="12.75">
      <c r="D484" s="205"/>
      <c r="E484" s="206"/>
      <c r="F484" s="205"/>
      <c r="G484" s="206"/>
    </row>
    <row r="485" spans="4:7" s="112" customFormat="1" ht="12.75">
      <c r="D485" s="205"/>
      <c r="E485" s="206"/>
      <c r="F485" s="205"/>
      <c r="G485" s="206"/>
    </row>
    <row r="486" spans="4:7" s="112" customFormat="1" ht="12.75">
      <c r="D486" s="205"/>
      <c r="E486" s="206"/>
      <c r="F486" s="205"/>
      <c r="G486" s="206"/>
    </row>
    <row r="487" spans="4:7" s="112" customFormat="1" ht="12.75">
      <c r="D487" s="205"/>
      <c r="E487" s="206"/>
      <c r="F487" s="205"/>
      <c r="G487" s="206"/>
    </row>
  </sheetData>
  <sheetProtection password="C857" sheet="1" objects="1" scenarios="1"/>
  <mergeCells count="2">
    <mergeCell ref="C4:G4"/>
    <mergeCell ref="C2:M2"/>
  </mergeCells>
  <phoneticPr fontId="0" type="noConversion"/>
  <conditionalFormatting sqref="L20 J23:J25 F23:F25 H23:H25 D23:D25 D9 F9 H9 J9 L9 D11:D14 F11:F14 H11:H14 J11:J14 L11:L14 D16:D18 F16:F18 H16:H18 J16:J18 L16:L18 D20 J20 F20 H20 L23:L25">
    <cfRule type="cellIs" dxfId="6" priority="1" stopIfTrue="1" operator="equal">
      <formula>0</formula>
    </cfRule>
  </conditionalFormatting>
  <pageMargins left="0.39370078740157483" right="0.39370078740157483" top="0.98425196850393704" bottom="0.98425196850393704" header="0.51181102362204722" footer="0.51181102362204722"/>
  <pageSetup paperSize="9" scale="95" orientation="landscape" r:id="rId1"/>
  <headerFooter alignWithMargins="0">
    <oddFooter>&amp;LZKB KMU Check-up&amp;CSeite &amp;P / &amp;N&amp;R&amp;D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M490"/>
  <sheetViews>
    <sheetView showGridLines="0" showRowColHeaders="0" topLeftCell="A2" zoomScale="84" zoomScaleNormal="100" workbookViewId="0">
      <pane xSplit="2" ySplit="3" topLeftCell="C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4.25"/>
  <cols>
    <col min="1" max="1" width="11.5" style="70" customWidth="1"/>
    <col min="2" max="2" width="4.75" style="70" customWidth="1"/>
    <col min="3" max="3" width="54.625" style="386" customWidth="1"/>
    <col min="4" max="4" width="9.75" style="168" customWidth="1"/>
    <col min="5" max="5" width="7.875" style="169" hidden="1" customWidth="1"/>
    <col min="6" max="6" width="9.75" style="168" customWidth="1"/>
    <col min="7" max="7" width="10.75" style="168" hidden="1" customWidth="1"/>
    <col min="8" max="8" width="9.75" style="70" customWidth="1"/>
    <col min="9" max="9" width="10.75" style="168" hidden="1" customWidth="1"/>
    <col min="10" max="10" width="9.75" style="70" customWidth="1"/>
    <col min="11" max="11" width="10.75" style="168" hidden="1" customWidth="1"/>
    <col min="12" max="12" width="9.75" style="70" customWidth="1"/>
    <col min="13" max="13" width="10.75" style="168" hidden="1" customWidth="1"/>
    <col min="14" max="16384" width="11.5" style="70"/>
  </cols>
  <sheetData>
    <row r="1" spans="1:13" s="112" customFormat="1" ht="12.75" hidden="1">
      <c r="C1" s="181"/>
      <c r="D1" s="205"/>
      <c r="E1" s="206"/>
      <c r="F1" s="205"/>
      <c r="G1" s="205"/>
      <c r="I1" s="205"/>
      <c r="K1" s="205"/>
      <c r="M1" s="205"/>
    </row>
    <row r="2" spans="1:13" s="112" customFormat="1" ht="15" customHeight="1">
      <c r="C2" s="557" t="str">
        <f>IF(Hauptübersicht!E13="","Bitte Firma unter 'Home' ergänzen",Hauptübersicht!E13)</f>
        <v>GitFit</v>
      </c>
      <c r="D2" s="558"/>
      <c r="E2" s="558"/>
      <c r="F2" s="558"/>
      <c r="G2" s="558"/>
      <c r="H2" s="558"/>
      <c r="I2" s="558"/>
      <c r="J2" s="558"/>
      <c r="K2" s="558"/>
      <c r="L2" s="559"/>
      <c r="M2" s="205"/>
    </row>
    <row r="3" spans="1:13" s="112" customFormat="1" ht="15" customHeight="1">
      <c r="C3" s="181"/>
      <c r="D3" s="205"/>
      <c r="E3" s="206"/>
      <c r="F3" s="205"/>
      <c r="G3" s="205"/>
      <c r="I3" s="205"/>
      <c r="K3" s="205"/>
      <c r="M3" s="205"/>
    </row>
    <row r="4" spans="1:13" s="112" customFormat="1" ht="27" customHeight="1">
      <c r="A4" s="172"/>
      <c r="C4" s="510" t="s">
        <v>73</v>
      </c>
      <c r="D4" s="510"/>
      <c r="E4" s="510"/>
      <c r="F4" s="510"/>
      <c r="G4" s="510"/>
      <c r="H4" s="290"/>
      <c r="I4" s="335"/>
      <c r="J4" s="290"/>
      <c r="K4" s="335"/>
      <c r="L4" s="290"/>
      <c r="M4" s="336"/>
    </row>
    <row r="5" spans="1:13" s="112" customFormat="1" ht="15">
      <c r="A5" s="99"/>
      <c r="C5" s="181"/>
      <c r="D5" s="205"/>
      <c r="E5" s="206"/>
      <c r="F5" s="205"/>
      <c r="G5" s="205"/>
      <c r="I5" s="205"/>
      <c r="K5" s="205"/>
      <c r="M5" s="205"/>
    </row>
    <row r="6" spans="1:13" s="112" customFormat="1" ht="15.75" thickBot="1">
      <c r="A6" s="174"/>
      <c r="C6" s="337"/>
      <c r="D6" s="104"/>
      <c r="E6" s="104"/>
      <c r="F6" s="104"/>
      <c r="G6" s="338"/>
      <c r="H6" s="104"/>
      <c r="I6" s="338"/>
      <c r="J6" s="104"/>
      <c r="K6" s="339"/>
      <c r="L6" s="104"/>
      <c r="M6" s="340"/>
    </row>
    <row r="7" spans="1:13" s="112" customFormat="1" ht="13.5" thickBot="1">
      <c r="A7" s="280"/>
      <c r="C7" s="315" t="str">
        <f>Hauptübersicht!$E$16</f>
        <v>in 1'000 CHF</v>
      </c>
      <c r="D7" s="461">
        <f>'Output Planerfolgsrechnung'!D7</f>
        <v>2017</v>
      </c>
      <c r="E7" s="341" t="s">
        <v>91</v>
      </c>
      <c r="F7" s="461">
        <f>'Output Planerfolgsrechnung'!F7</f>
        <v>2018</v>
      </c>
      <c r="G7" s="342" t="s">
        <v>91</v>
      </c>
      <c r="H7" s="461">
        <f>'Output Planerfolgsrechnung'!H7</f>
        <v>2019</v>
      </c>
      <c r="I7" s="342" t="s">
        <v>91</v>
      </c>
      <c r="J7" s="461">
        <f>'Output Planerfolgsrechnung'!J7</f>
        <v>2020</v>
      </c>
      <c r="K7" s="342" t="s">
        <v>91</v>
      </c>
      <c r="L7" s="461">
        <f>'Output Planerfolgsrechnung'!L7</f>
        <v>2021</v>
      </c>
      <c r="M7" s="247" t="s">
        <v>91</v>
      </c>
    </row>
    <row r="8" spans="1:13" s="112" customFormat="1" ht="12.75">
      <c r="A8" s="280"/>
      <c r="C8" s="343" t="str">
        <f>'Output Planerfolgsrechnung'!C26</f>
        <v>Reingewinn</v>
      </c>
      <c r="D8" s="344">
        <f>'Output Planerfolgsrechnung'!D26</f>
        <v>-305.38</v>
      </c>
      <c r="E8" s="345">
        <f>('Output Planerfolgsrechnung'!D19-'Output Planerfolgsrechnung'!D23+'Output Planerfolgsrechnung'!D24)*(1-'Input Geschäftsgang'!E34)</f>
        <v>-305.38</v>
      </c>
      <c r="F8" s="344">
        <f>'Output Planerfolgsrechnung'!F26</f>
        <v>-271.54999999999995</v>
      </c>
      <c r="G8" s="345">
        <f>('Output Planerfolgsrechnung'!F19-'Output Planerfolgsrechnung'!F23+'Output Planerfolgsrechnung'!F24)*(1-'Input Geschäftsgang'!G34)</f>
        <v>-246.54999999999998</v>
      </c>
      <c r="H8" s="344">
        <f>'Output Planerfolgsrechnung'!H26</f>
        <v>-51.85</v>
      </c>
      <c r="I8" s="345">
        <f>('Output Planerfolgsrechnung'!H19-'Output Planerfolgsrechnung'!H23+'Output Planerfolgsrechnung'!H24)*(1-'Input Geschäftsgang'!I34)</f>
        <v>-26.85</v>
      </c>
      <c r="J8" s="344">
        <f>'Output Planerfolgsrechnung'!J26</f>
        <v>0</v>
      </c>
      <c r="K8" s="345">
        <f>('Output Planerfolgsrechnung'!J19-'Output Planerfolgsrechnung'!J23+'Output Planerfolgsrechnung'!J24)*(1-'Input Geschäftsgang'!K34)</f>
        <v>0</v>
      </c>
      <c r="L8" s="344">
        <f>'Output Planerfolgsrechnung'!L26</f>
        <v>0</v>
      </c>
      <c r="M8" s="346">
        <f>('Output Planerfolgsrechnung'!L19-'Output Planerfolgsrechnung'!L23+'Output Planerfolgsrechnung'!L24)*(1-'Input Geschäftsgang'!M34)</f>
        <v>0</v>
      </c>
    </row>
    <row r="9" spans="1:13" s="112" customFormat="1" ht="12.75">
      <c r="A9" s="280"/>
      <c r="C9" s="347" t="s">
        <v>76</v>
      </c>
      <c r="D9" s="348">
        <f>SUM('Output Planerfolgsrechnung'!D16:D18)</f>
        <v>3.3000000000000003</v>
      </c>
      <c r="E9" s="346">
        <f>D9</f>
        <v>3.3000000000000003</v>
      </c>
      <c r="F9" s="348">
        <f>SUM('Output Planerfolgsrechnung'!F16:F18)</f>
        <v>5.85</v>
      </c>
      <c r="G9" s="346">
        <f>F9</f>
        <v>5.85</v>
      </c>
      <c r="H9" s="348">
        <f>SUM('Output Planerfolgsrechnung'!H16:H18)</f>
        <v>8.85</v>
      </c>
      <c r="I9" s="346">
        <f>H9</f>
        <v>8.85</v>
      </c>
      <c r="J9" s="348">
        <f>SUM('Output Planerfolgsrechnung'!J16:J18)</f>
        <v>0</v>
      </c>
      <c r="K9" s="346">
        <f>J9</f>
        <v>0</v>
      </c>
      <c r="L9" s="348">
        <f>SUM('Output Planerfolgsrechnung'!L16:L18)</f>
        <v>0</v>
      </c>
      <c r="M9" s="346">
        <f>L9</f>
        <v>0</v>
      </c>
    </row>
    <row r="10" spans="1:13" s="112" customFormat="1" ht="12.75">
      <c r="C10" s="347" t="s">
        <v>95</v>
      </c>
      <c r="D10" s="348">
        <f>-('Input Geschäftsgang'!E59+'Input Geschäftsgang'!E66+'Input Geschäftsgang'!E73)</f>
        <v>0</v>
      </c>
      <c r="E10" s="346">
        <f>D10</f>
        <v>0</v>
      </c>
      <c r="F10" s="348">
        <f>-('Input Geschäftsgang'!G59+'Input Geschäftsgang'!G66+'Input Geschäftsgang'!G73)</f>
        <v>0</v>
      </c>
      <c r="G10" s="346">
        <f>F10</f>
        <v>0</v>
      </c>
      <c r="H10" s="348">
        <f>-('Input Geschäftsgang'!I59+'Input Geschäftsgang'!I66+'Input Geschäftsgang'!I73)</f>
        <v>0</v>
      </c>
      <c r="I10" s="346">
        <f>H10</f>
        <v>0</v>
      </c>
      <c r="J10" s="348">
        <f>-('Input Geschäftsgang'!K59+'Input Geschäftsgang'!K66+'Input Geschäftsgang'!K73)</f>
        <v>0</v>
      </c>
      <c r="K10" s="346">
        <f>J10</f>
        <v>0</v>
      </c>
      <c r="L10" s="348">
        <f>-('Input Geschäftsgang'!M59+'Input Geschäftsgang'!M66+'Input Geschäftsgang'!M73)</f>
        <v>0</v>
      </c>
      <c r="M10" s="346">
        <f>L10</f>
        <v>0</v>
      </c>
    </row>
    <row r="11" spans="1:13" s="112" customFormat="1" ht="13.5" thickBot="1">
      <c r="C11" s="349" t="str">
        <f>CONCATENATE("Zu- (+) / Abnahme (-) ",'Output Planbilanz'!C28)</f>
        <v>Zu- (+) / Abnahme (-) Rückstellungen langfristig</v>
      </c>
      <c r="D11" s="350">
        <f>'Output Planbilanz'!F28-'Output Planbilanz'!D28</f>
        <v>0</v>
      </c>
      <c r="E11" s="351">
        <f>D11</f>
        <v>0</v>
      </c>
      <c r="F11" s="350">
        <f>'Output Planbilanz'!H28-'Output Planbilanz'!F28</f>
        <v>0</v>
      </c>
      <c r="G11" s="351">
        <f>F11</f>
        <v>0</v>
      </c>
      <c r="H11" s="350">
        <f>'Output Planbilanz'!J28-'Output Planbilanz'!H28</f>
        <v>0</v>
      </c>
      <c r="I11" s="351">
        <f>H11</f>
        <v>0</v>
      </c>
      <c r="J11" s="350">
        <f>'Output Planbilanz'!L28-'Output Planbilanz'!J28</f>
        <v>0</v>
      </c>
      <c r="K11" s="351">
        <f>J11</f>
        <v>0</v>
      </c>
      <c r="L11" s="350">
        <f>'Output Planbilanz'!N28-'Output Planbilanz'!L28</f>
        <v>0</v>
      </c>
      <c r="M11" s="351">
        <f>L11</f>
        <v>0</v>
      </c>
    </row>
    <row r="12" spans="1:13" s="112" customFormat="1" ht="13.5" thickBot="1">
      <c r="C12" s="352" t="s">
        <v>77</v>
      </c>
      <c r="D12" s="353">
        <f t="shared" ref="D12:M12" si="0">SUM(D8:D11)</f>
        <v>-302.08</v>
      </c>
      <c r="E12" s="354">
        <f t="shared" si="0"/>
        <v>-302.08</v>
      </c>
      <c r="F12" s="353">
        <f t="shared" si="0"/>
        <v>-265.69999999999993</v>
      </c>
      <c r="G12" s="354">
        <f t="shared" si="0"/>
        <v>-240.7</v>
      </c>
      <c r="H12" s="353">
        <f t="shared" si="0"/>
        <v>-43</v>
      </c>
      <c r="I12" s="354">
        <f t="shared" si="0"/>
        <v>-18</v>
      </c>
      <c r="J12" s="353">
        <f t="shared" si="0"/>
        <v>0</v>
      </c>
      <c r="K12" s="354">
        <f t="shared" si="0"/>
        <v>0</v>
      </c>
      <c r="L12" s="353">
        <f t="shared" si="0"/>
        <v>0</v>
      </c>
      <c r="M12" s="355">
        <f t="shared" si="0"/>
        <v>0</v>
      </c>
    </row>
    <row r="13" spans="1:13" s="112" customFormat="1" ht="12.75">
      <c r="C13" s="349" t="str">
        <f>CONCATENATE("Zu- (-) / Abnahme (+) ",'Output Planbilanz'!C9 )</f>
        <v>Zu- (-) / Abnahme (+) Forderungen (Debitoren)</v>
      </c>
      <c r="D13" s="350">
        <f>'Output Planbilanz'!D9-'Output Planbilanz'!F9</f>
        <v>-1</v>
      </c>
      <c r="E13" s="351">
        <f>D13</f>
        <v>-1</v>
      </c>
      <c r="F13" s="350">
        <f>'Output Planbilanz'!F9-'Output Planbilanz'!H9</f>
        <v>-7.75</v>
      </c>
      <c r="G13" s="351">
        <f>F13</f>
        <v>-7.75</v>
      </c>
      <c r="H13" s="350">
        <f>'Output Planbilanz'!H9-'Output Planbilanz'!J9</f>
        <v>-28.75</v>
      </c>
      <c r="I13" s="351">
        <f>H13</f>
        <v>-28.75</v>
      </c>
      <c r="J13" s="350">
        <f>'Output Planbilanz'!J9-'Output Planbilanz'!L9</f>
        <v>37.5</v>
      </c>
      <c r="K13" s="351">
        <f>J13</f>
        <v>37.5</v>
      </c>
      <c r="L13" s="350">
        <f>'Output Planbilanz'!L9-'Output Planbilanz'!N9</f>
        <v>0</v>
      </c>
      <c r="M13" s="356">
        <f>L13</f>
        <v>0</v>
      </c>
    </row>
    <row r="14" spans="1:13" s="112" customFormat="1" ht="12.75">
      <c r="C14" s="347" t="str">
        <f>CONCATENATE("Zu- (-) / Abnahme (+) ",'Output Planbilanz'!C10 )</f>
        <v>Zu- (-) / Abnahme (+) Übrige kurzfristige Forderungen</v>
      </c>
      <c r="D14" s="348">
        <f>'Output Planbilanz'!D10-'Output Planbilanz'!F10</f>
        <v>0</v>
      </c>
      <c r="E14" s="346">
        <f>D14</f>
        <v>0</v>
      </c>
      <c r="F14" s="348">
        <f>'Output Planbilanz'!F10-'Output Planbilanz'!H10</f>
        <v>0</v>
      </c>
      <c r="G14" s="346">
        <f>F14</f>
        <v>0</v>
      </c>
      <c r="H14" s="348">
        <f>'Output Planbilanz'!H10-'Output Planbilanz'!J10</f>
        <v>0</v>
      </c>
      <c r="I14" s="346">
        <f>H14</f>
        <v>0</v>
      </c>
      <c r="J14" s="348">
        <f>'Output Planbilanz'!J10-'Output Planbilanz'!L10</f>
        <v>0</v>
      </c>
      <c r="K14" s="346">
        <f>J14</f>
        <v>0</v>
      </c>
      <c r="L14" s="348">
        <f>'Output Planbilanz'!L10-'Output Planbilanz'!N10</f>
        <v>0</v>
      </c>
      <c r="M14" s="346">
        <f>L14</f>
        <v>0</v>
      </c>
    </row>
    <row r="15" spans="1:13" s="112" customFormat="1" ht="12.75">
      <c r="C15" s="347" t="str">
        <f>CONCATENATE("Zu- (-) / Abnahme (+) ",'Output Planbilanz'!C11 )</f>
        <v>Zu- (-) / Abnahme (+) Vorräte, angefangene Arbeiten (abzüglich Anzahlungen)</v>
      </c>
      <c r="D15" s="348">
        <f>'Output Planbilanz'!D11-'Output Planbilanz'!F11</f>
        <v>0</v>
      </c>
      <c r="E15" s="346">
        <f>D15</f>
        <v>0</v>
      </c>
      <c r="F15" s="348">
        <f>'Output Planbilanz'!F11-'Output Planbilanz'!H11</f>
        <v>0</v>
      </c>
      <c r="G15" s="346">
        <f>F15</f>
        <v>0</v>
      </c>
      <c r="H15" s="348">
        <f>'Output Planbilanz'!H11-'Output Planbilanz'!J11</f>
        <v>0</v>
      </c>
      <c r="I15" s="346">
        <f>H15</f>
        <v>0</v>
      </c>
      <c r="J15" s="348">
        <f>'Output Planbilanz'!J11-'Output Planbilanz'!L11</f>
        <v>0</v>
      </c>
      <c r="K15" s="346">
        <f>J15</f>
        <v>0</v>
      </c>
      <c r="L15" s="348">
        <f>'Output Planbilanz'!L11-'Output Planbilanz'!N11</f>
        <v>0</v>
      </c>
      <c r="M15" s="346">
        <f>L15</f>
        <v>0</v>
      </c>
    </row>
    <row r="16" spans="1:13" s="112" customFormat="1" ht="12.75">
      <c r="C16" s="347" t="str">
        <f>CONCATENATE("Zu- (+) / Abnahme (-) ",'Output Planbilanz'!C22)</f>
        <v>Zu- (+) / Abnahme (-) Kurzfristige Verbindlichkeiten aus Lieferungen und Leistungen</v>
      </c>
      <c r="D16" s="348">
        <f>'Output Planbilanz'!F22-'Output Planbilanz'!D22</f>
        <v>6.6666666666666662E-3</v>
      </c>
      <c r="E16" s="346">
        <f>D16</f>
        <v>6.6666666666666662E-3</v>
      </c>
      <c r="F16" s="348">
        <f>'Output Planbilanz'!H22-'Output Planbilanz'!F22</f>
        <v>5.1666666666666673E-2</v>
      </c>
      <c r="G16" s="346">
        <f>F16</f>
        <v>5.1666666666666673E-2</v>
      </c>
      <c r="H16" s="348">
        <f>'Output Planbilanz'!J22-'Output Planbilanz'!H22</f>
        <v>0.19166666666666665</v>
      </c>
      <c r="I16" s="346">
        <f>H16</f>
        <v>0.19166666666666665</v>
      </c>
      <c r="J16" s="348">
        <f>'Output Planbilanz'!L22-'Output Planbilanz'!J22</f>
        <v>-0.25</v>
      </c>
      <c r="K16" s="346">
        <f>J16</f>
        <v>-0.25</v>
      </c>
      <c r="L16" s="348">
        <f>'Output Planbilanz'!N22-'Output Planbilanz'!L22</f>
        <v>0</v>
      </c>
      <c r="M16" s="346">
        <f>L16</f>
        <v>0</v>
      </c>
    </row>
    <row r="17" spans="3:13" s="112" customFormat="1" ht="13.5" thickBot="1">
      <c r="C17" s="357" t="str">
        <f>CONCATENATE("Zu- (+) / Abnahme (-) ",'Output Planbilanz'!C24)</f>
        <v>Zu- (+) / Abnahme (-) Übrige kurzfristige Verbindlichkeiten</v>
      </c>
      <c r="D17" s="358">
        <f>'Output Planbilanz'!F24-'Output Planbilanz'!D24</f>
        <v>0</v>
      </c>
      <c r="E17" s="359">
        <f>D17</f>
        <v>0</v>
      </c>
      <c r="F17" s="358">
        <f>'Output Planbilanz'!H24-'Output Planbilanz'!F24</f>
        <v>0</v>
      </c>
      <c r="G17" s="359">
        <f>F17</f>
        <v>0</v>
      </c>
      <c r="H17" s="358">
        <f>'Output Planbilanz'!J24-'Output Planbilanz'!H24</f>
        <v>0</v>
      </c>
      <c r="I17" s="359">
        <f>H17</f>
        <v>0</v>
      </c>
      <c r="J17" s="358">
        <f>'Output Planbilanz'!L24-'Output Planbilanz'!J24</f>
        <v>0</v>
      </c>
      <c r="K17" s="359">
        <f>J17</f>
        <v>0</v>
      </c>
      <c r="L17" s="358">
        <f>'Output Planbilanz'!N24-'Output Planbilanz'!L24</f>
        <v>0</v>
      </c>
      <c r="M17" s="346">
        <f>L17</f>
        <v>0</v>
      </c>
    </row>
    <row r="18" spans="3:13" s="112" customFormat="1" ht="13.5" thickBot="1">
      <c r="C18" s="352" t="s">
        <v>78</v>
      </c>
      <c r="D18" s="353">
        <f t="shared" ref="D18:M18" si="1">SUM(D12:D17)</f>
        <v>-303.07333333333332</v>
      </c>
      <c r="E18" s="354">
        <f t="shared" si="1"/>
        <v>-303.07333333333332</v>
      </c>
      <c r="F18" s="353">
        <f t="shared" si="1"/>
        <v>-273.39833333333326</v>
      </c>
      <c r="G18" s="354">
        <f t="shared" si="1"/>
        <v>-248.39833333333331</v>
      </c>
      <c r="H18" s="353">
        <f t="shared" si="1"/>
        <v>-71.558333333333337</v>
      </c>
      <c r="I18" s="354">
        <f t="shared" si="1"/>
        <v>-46.55833333333333</v>
      </c>
      <c r="J18" s="353">
        <f t="shared" si="1"/>
        <v>37.25</v>
      </c>
      <c r="K18" s="354">
        <f t="shared" si="1"/>
        <v>37.25</v>
      </c>
      <c r="L18" s="353">
        <f t="shared" si="1"/>
        <v>0</v>
      </c>
      <c r="M18" s="355">
        <f t="shared" si="1"/>
        <v>0</v>
      </c>
    </row>
    <row r="19" spans="3:13" s="112" customFormat="1" ht="12.75">
      <c r="C19" s="360" t="str">
        <f>CONCATENATE("Netto Investitionen (-) / Desinvestitionen (+) ",'Output Planbilanz'!C14)</f>
        <v>Netto Investitionen (-) / Desinvestitionen (+) Maschinen und Mobilien</v>
      </c>
      <c r="D19" s="350">
        <f>'Input Geschäftsgang'!E54+'Input Geschäftsgang'!E55</f>
        <v>-10</v>
      </c>
      <c r="E19" s="351">
        <f>D19</f>
        <v>-10</v>
      </c>
      <c r="F19" s="350">
        <f>'Input Geschäftsgang'!G54+'Input Geschäftsgang'!G55</f>
        <v>-5</v>
      </c>
      <c r="G19" s="351"/>
      <c r="H19" s="350">
        <f>'Input Geschäftsgang'!I54+'Input Geschäftsgang'!I55</f>
        <v>-3</v>
      </c>
      <c r="I19" s="351"/>
      <c r="J19" s="350">
        <f>'Input Geschäftsgang'!K54+'Input Geschäftsgang'!K55</f>
        <v>0</v>
      </c>
      <c r="K19" s="351"/>
      <c r="L19" s="350">
        <f>'Input Geschäftsgang'!M54+'Input Geschäftsgang'!M55</f>
        <v>0</v>
      </c>
      <c r="M19" s="356"/>
    </row>
    <row r="20" spans="3:13" s="112" customFormat="1" ht="12.75">
      <c r="C20" s="361" t="str">
        <f>CONCATENATE("Netto Investitionen (-) / Desinvestitionen (+) ",'Output Planbilanz'!C15)</f>
        <v xml:space="preserve">Netto Investitionen (-) / Desinvestitionen (+) Immobile Sachanlagen </v>
      </c>
      <c r="D20" s="348">
        <f>'Input Geschäftsgang'!E61+'Input Geschäftsgang'!E62</f>
        <v>0</v>
      </c>
      <c r="E20" s="346">
        <f>D20</f>
        <v>0</v>
      </c>
      <c r="F20" s="348">
        <f>'Input Geschäftsgang'!G61+'Input Geschäftsgang'!G62</f>
        <v>0</v>
      </c>
      <c r="G20" s="346"/>
      <c r="H20" s="348">
        <f>'Input Geschäftsgang'!I61+'Input Geschäftsgang'!I62</f>
        <v>0</v>
      </c>
      <c r="I20" s="346"/>
      <c r="J20" s="348">
        <f>'Input Geschäftsgang'!K61+'Input Geschäftsgang'!K62</f>
        <v>0</v>
      </c>
      <c r="K20" s="346"/>
      <c r="L20" s="348">
        <f>'Input Geschäftsgang'!M61+'Input Geschäftsgang'!M62</f>
        <v>0</v>
      </c>
      <c r="M20" s="346"/>
    </row>
    <row r="21" spans="3:13" s="112" customFormat="1" ht="13.5" thickBot="1">
      <c r="C21" s="362" t="str">
        <f>CONCATENATE("Netto Investitionen (-) / Desinvestitionen (+) ",'Output Planbilanz'!C16)</f>
        <v xml:space="preserve">Netto Investitionen (-) / Desinvestitionen (+) Immaterielle Anlagen </v>
      </c>
      <c r="D21" s="358">
        <f>'Input Geschäftsgang'!E68+'Input Geschäftsgang'!E69</f>
        <v>0</v>
      </c>
      <c r="E21" s="359">
        <f>D21</f>
        <v>0</v>
      </c>
      <c r="F21" s="358">
        <f>'Input Geschäftsgang'!G68+'Input Geschäftsgang'!G69</f>
        <v>0</v>
      </c>
      <c r="G21" s="359"/>
      <c r="H21" s="358">
        <f>'Input Geschäftsgang'!I68+'Input Geschäftsgang'!I69</f>
        <v>0</v>
      </c>
      <c r="I21" s="359"/>
      <c r="J21" s="358">
        <f>'Input Geschäftsgang'!K68+'Input Geschäftsgang'!K69</f>
        <v>0</v>
      </c>
      <c r="K21" s="359"/>
      <c r="L21" s="358">
        <f>'Input Geschäftsgang'!M68+'Input Geschäftsgang'!M69</f>
        <v>0</v>
      </c>
      <c r="M21" s="363"/>
    </row>
    <row r="22" spans="3:13" s="112" customFormat="1" ht="13.5" thickBot="1">
      <c r="C22" s="352" t="s">
        <v>82</v>
      </c>
      <c r="D22" s="353">
        <f t="shared" ref="D22:M22" si="2">SUM(D18:D21)</f>
        <v>-313.07333333333332</v>
      </c>
      <c r="E22" s="354">
        <f t="shared" si="2"/>
        <v>-313.07333333333332</v>
      </c>
      <c r="F22" s="353">
        <f t="shared" si="2"/>
        <v>-278.39833333333326</v>
      </c>
      <c r="G22" s="354">
        <f t="shared" si="2"/>
        <v>-248.39833333333331</v>
      </c>
      <c r="H22" s="353">
        <f t="shared" si="2"/>
        <v>-74.558333333333337</v>
      </c>
      <c r="I22" s="354">
        <f t="shared" si="2"/>
        <v>-46.55833333333333</v>
      </c>
      <c r="J22" s="353">
        <f t="shared" si="2"/>
        <v>37.25</v>
      </c>
      <c r="K22" s="354">
        <f t="shared" si="2"/>
        <v>37.25</v>
      </c>
      <c r="L22" s="353">
        <f t="shared" si="2"/>
        <v>0</v>
      </c>
      <c r="M22" s="355">
        <f t="shared" si="2"/>
        <v>0</v>
      </c>
    </row>
    <row r="23" spans="3:13" s="220" customFormat="1" ht="13.5" hidden="1" customHeight="1">
      <c r="C23" s="364" t="s">
        <v>96</v>
      </c>
      <c r="D23" s="365"/>
      <c r="E23" s="366">
        <f>'Output Planbilanz'!D27*'Input Geschäftsgang'!E48*(1-'Input Geschäftsgang'!E49)</f>
        <v>0</v>
      </c>
      <c r="F23" s="365"/>
      <c r="G23" s="366">
        <f>'Output Planbilanz'!F27*'Input Geschäftsgang'!G48*(1-'Input Geschäftsgang'!G49)</f>
        <v>18.75</v>
      </c>
      <c r="H23" s="365"/>
      <c r="I23" s="366">
        <f>'Output Planbilanz'!H27*'Input Geschäftsgang'!I48*(1-'Input Geschäftsgang'!I49)</f>
        <v>18.75</v>
      </c>
      <c r="J23" s="365"/>
      <c r="K23" s="366">
        <f>'Output Planbilanz'!J27*'Input Geschäftsgang'!K48*(1-'Input Geschäftsgang'!K49)</f>
        <v>0</v>
      </c>
      <c r="L23" s="365"/>
      <c r="M23" s="366">
        <f>'Output Planbilanz'!L27*'Input Geschäftsgang'!M48*(1-'Input Geschäftsgang'!M49)</f>
        <v>0</v>
      </c>
    </row>
    <row r="24" spans="3:13" s="220" customFormat="1" ht="13.5" hidden="1" customHeight="1">
      <c r="C24" s="364" t="s">
        <v>97</v>
      </c>
      <c r="D24" s="365"/>
      <c r="E24" s="366">
        <f>(('Output Planbilanz'!D23-('Output Planbilanz'!D8-'Input Eröffnungsbilanz'!$K$13)+MAX('Output Planbilanz'!D23-('Output Planbilanz'!D8-'Input Eröffnungsbilanz'!$K$13)-'Output Mittelflussrechnung'!E22+'Output Planbilanz'!D27*'Input Geschäftsgang'!E48*(1-'Input Geschäftsgang'!E49),0))*('Input Geschäftsgang'!E47-'Input Geschäftsgang'!E47*'Input Geschäftsgang'!E49))/(2-'Input Geschäftsgang'!E47+'Input Geschäftsgang'!E47*'Input Geschäftsgang'!E49)</f>
        <v>-1.540511508951407</v>
      </c>
      <c r="F24" s="365"/>
      <c r="G24" s="366">
        <f>(('Output Planbilanz'!F23-('Output Planbilanz'!F8-'Input Eröffnungsbilanz'!$K$13)+MAX('Output Planbilanz'!F23-('Output Planbilanz'!F8-'Input Eröffnungsbilanz'!$K$13)-'Output Mittelflussrechnung'!G22+'Output Planbilanz'!F27*'Input Geschäftsgang'!G48*(1-'Input Geschäftsgang'!G49),0))*('Input Geschäftsgang'!G47-'Input Geschäftsgang'!G47*'Input Geschäftsgang'!G49))/(2-'Input Geschäftsgang'!G47+'Input Geschäftsgang'!G47*'Input Geschäftsgang'!G49)</f>
        <v>-8.6760613810741702</v>
      </c>
      <c r="H24" s="365"/>
      <c r="I24" s="366">
        <f>(('Output Planbilanz'!H23-('Output Planbilanz'!H8-'Input Eröffnungsbilanz'!$K$13)+MAX('Output Planbilanz'!H23-('Output Planbilanz'!H8-'Input Eröffnungsbilanz'!$K$13)-'Output Mittelflussrechnung'!I22+'Output Planbilanz'!H27*'Input Geschäftsgang'!I48*(1-'Input Geschäftsgang'!I49),0))*('Input Geschäftsgang'!I47-'Input Geschäftsgang'!I47*'Input Geschäftsgang'!I49))/(2-'Input Geschäftsgang'!I47+'Input Geschäftsgang'!I47*'Input Geschäftsgang'!I49)</f>
        <v>-2.2679156010230197</v>
      </c>
      <c r="J24" s="365"/>
      <c r="K24" s="366">
        <f>(('Output Planbilanz'!J23-('Output Planbilanz'!J8-'Input Eröffnungsbilanz'!$K$13)+MAX('Output Planbilanz'!J23-('Output Planbilanz'!J8-'Input Eröffnungsbilanz'!$K$13)-'Output Mittelflussrechnung'!K22+'Output Planbilanz'!J27*'Input Geschäftsgang'!K48*(1-'Input Geschäftsgang'!K49),0))*('Input Geschäftsgang'!K47-'Input Geschäftsgang'!K47*'Input Geschäftsgang'!K49))/(2-'Input Geschäftsgang'!K47+'Input Geschäftsgang'!K47*'Input Geschäftsgang'!K49)</f>
        <v>0</v>
      </c>
      <c r="L24" s="365"/>
      <c r="M24" s="366">
        <f>(('Output Planbilanz'!L23-('Output Planbilanz'!L8-'Input Eröffnungsbilanz'!$K$13)+MAX('Output Planbilanz'!L23-('Output Planbilanz'!L8-'Input Eröffnungsbilanz'!$K$13)-'Output Mittelflussrechnung'!M22+'Output Planbilanz'!L27*'Input Geschäftsgang'!M48*(1-'Input Geschäftsgang'!M49),0))*('Input Geschäftsgang'!M47-'Input Geschäftsgang'!M47*'Input Geschäftsgang'!M49))/(2-'Input Geschäftsgang'!M47+'Input Geschäftsgang'!M47*'Input Geschäftsgang'!M49)</f>
        <v>0</v>
      </c>
    </row>
    <row r="25" spans="3:13" s="220" customFormat="1" ht="13.5" hidden="1" customHeight="1">
      <c r="C25" s="364" t="s">
        <v>98</v>
      </c>
      <c r="D25" s="365"/>
      <c r="E25" s="366">
        <f>IF('Output Planbilanz'!D23-('Output Planbilanz'!D8-'Input Eröffnungsbilanz'!$K$13)-'Output Mittelflussrechnung'!E22+'Output Planbilanz'!D27*'Input Geschäftsgang'!E48*(1-'Input Geschäftsgang'!E49)&gt;=0,IF(E24&gt;='Output Planbilanz'!D23*0.5*'Input Geschäftsgang'!E47*(1-'Input Geschäftsgang'!E49),0,'Output Planbilanz'!D23*0.5*'Input Geschäftsgang'!E47*(1-'Input Geschäftsgang'!E49)-E24),-(E24-'Output Planbilanz'!D23*0.5*'Input Geschäftsgang'!E47*(1-'Input Geschäftsgang'!E49)))</f>
        <v>1.540511508951407</v>
      </c>
      <c r="F25" s="365"/>
      <c r="G25" s="366">
        <f>IF('Output Planbilanz'!F23-('Output Planbilanz'!F8-'Input Eröffnungsbilanz'!$K$13)-'Output Mittelflussrechnung'!G22+'Output Planbilanz'!F27*'Input Geschäftsgang'!G48*(1-'Input Geschäftsgang'!G49)&gt;=0,IF(G24&gt;='Output Planbilanz'!F23*0.5*'Input Geschäftsgang'!G47*(1-'Input Geschäftsgang'!G49),0,'Output Planbilanz'!F23*0.5*'Input Geschäftsgang'!G47*(1-'Input Geschäftsgang'!G49)-G24),-(G24-'Output Planbilanz'!F23*0.5*'Input Geschäftsgang'!G47*(1-'Input Geschäftsgang'!G49)))</f>
        <v>8.6760613810741702</v>
      </c>
      <c r="H25" s="365"/>
      <c r="I25" s="366">
        <f>IF('Output Planbilanz'!H23-('Output Planbilanz'!H8-'Input Eröffnungsbilanz'!$K$13)-'Output Mittelflussrechnung'!I22+'Output Planbilanz'!H27*'Input Geschäftsgang'!I48*(1-'Input Geschäftsgang'!I49)&gt;=0,IF(I24&gt;='Output Planbilanz'!H23*0.5*'Input Geschäftsgang'!I47*(1-'Input Geschäftsgang'!I49),0,'Output Planbilanz'!H23*0.5*'Input Geschäftsgang'!I47*(1-'Input Geschäftsgang'!I49)-I24),-(I24-'Output Planbilanz'!H23*0.5*'Input Geschäftsgang'!I47*(1-'Input Geschäftsgang'!I49)))</f>
        <v>2.2679156010230197</v>
      </c>
      <c r="J25" s="365"/>
      <c r="K25" s="366">
        <f>IF('Output Planbilanz'!J23-('Output Planbilanz'!J8-'Input Eröffnungsbilanz'!$K$13)-'Output Mittelflussrechnung'!K22+'Output Planbilanz'!J27*'Input Geschäftsgang'!K48*(1-'Input Geschäftsgang'!K49)&gt;=0,IF(K24&gt;='Output Planbilanz'!J23*0.5*'Input Geschäftsgang'!K47*(1-'Input Geschäftsgang'!K49),0,'Output Planbilanz'!J23*0.5*'Input Geschäftsgang'!K47*(1-'Input Geschäftsgang'!K49)-K24),-(K24-'Output Planbilanz'!J23*0.5*'Input Geschäftsgang'!K47*(1-'Input Geschäftsgang'!K49)))</f>
        <v>0</v>
      </c>
      <c r="L25" s="365"/>
      <c r="M25" s="366">
        <f>IF('Output Planbilanz'!L23-('Output Planbilanz'!L8-'Input Eröffnungsbilanz'!$K$13)-'Output Mittelflussrechnung'!M22+'Output Planbilanz'!L27*'Input Geschäftsgang'!M48*(1-'Input Geschäftsgang'!M49)&gt;=0,IF(M24&gt;='Output Planbilanz'!L23*0.5*'Input Geschäftsgang'!M47*(1-'Input Geschäftsgang'!M49),0,'Output Planbilanz'!L23*0.5*'Input Geschäftsgang'!M47*(1-'Input Geschäftsgang'!M49)-M24),-(M24-'Output Planbilanz'!L23*0.5*'Input Geschäftsgang'!M47*(1-'Input Geschäftsgang'!M49)))</f>
        <v>0</v>
      </c>
    </row>
    <row r="26" spans="3:13" s="112" customFormat="1" ht="13.5" thickBot="1">
      <c r="C26" s="367" t="str">
        <f>CONCATENATE("+ ",'Output Planerfolgsrechnung'!C20)</f>
        <v>+ Finanzaufwand (Fremdkapitalzinsen)</v>
      </c>
      <c r="D26" s="368">
        <f>'Output Planerfolgsrechnung'!D20</f>
        <v>0</v>
      </c>
      <c r="E26" s="369">
        <f>SUM(E23:E25)</f>
        <v>0</v>
      </c>
      <c r="F26" s="368">
        <f>'Output Planerfolgsrechnung'!F20</f>
        <v>25</v>
      </c>
      <c r="G26" s="369">
        <f>SUM(G23:G25)</f>
        <v>18.75</v>
      </c>
      <c r="H26" s="368">
        <f>'Output Planerfolgsrechnung'!H20</f>
        <v>25</v>
      </c>
      <c r="I26" s="369">
        <f>SUM(I23:I25)</f>
        <v>18.75</v>
      </c>
      <c r="J26" s="368">
        <f>'Output Planerfolgsrechnung'!J20</f>
        <v>0</v>
      </c>
      <c r="K26" s="369">
        <f>SUM(K23:K25)</f>
        <v>0</v>
      </c>
      <c r="L26" s="368">
        <f>'Output Planerfolgsrechnung'!L20</f>
        <v>0</v>
      </c>
      <c r="M26" s="369">
        <f>SUM(M23:M25)</f>
        <v>0</v>
      </c>
    </row>
    <row r="27" spans="3:13" s="112" customFormat="1" ht="13.5" thickBot="1">
      <c r="C27" s="352" t="s">
        <v>84</v>
      </c>
      <c r="D27" s="353">
        <f>D22+D26</f>
        <v>-313.07333333333332</v>
      </c>
      <c r="E27" s="354">
        <f>E22-E26</f>
        <v>-313.07333333333332</v>
      </c>
      <c r="F27" s="353">
        <f>F22+F26</f>
        <v>-253.39833333333326</v>
      </c>
      <c r="G27" s="354">
        <f>G22-G26</f>
        <v>-267.14833333333331</v>
      </c>
      <c r="H27" s="353">
        <f>H22+H26</f>
        <v>-49.558333333333337</v>
      </c>
      <c r="I27" s="354">
        <f>I22-I26</f>
        <v>-65.308333333333337</v>
      </c>
      <c r="J27" s="353">
        <f>J22+J26</f>
        <v>37.25</v>
      </c>
      <c r="K27" s="354">
        <f>K22-K26</f>
        <v>37.25</v>
      </c>
      <c r="L27" s="353">
        <f>L22+L26</f>
        <v>0</v>
      </c>
      <c r="M27" s="355">
        <f>M22-M26</f>
        <v>0</v>
      </c>
    </row>
    <row r="28" spans="3:13" s="220" customFormat="1" ht="14.25" hidden="1" customHeight="1" thickBot="1">
      <c r="C28" s="370" t="s">
        <v>99</v>
      </c>
      <c r="D28" s="365">
        <f>-('Output Planbilanz'!D8-'Input Eröffnungsbilanz'!$K$13+D22)</f>
        <v>123.07333333333332</v>
      </c>
      <c r="E28" s="366"/>
      <c r="F28" s="365">
        <f>-('Output Planbilanz'!F8-'Input Eröffnungsbilanz'!$K$13+F22)</f>
        <v>-98.528333333333421</v>
      </c>
      <c r="G28" s="366"/>
      <c r="H28" s="365">
        <f>-('Output Planbilanz'!H8-'Input Eröffnungsbilanz'!$K$13+H22)</f>
        <v>-23.970000000000084</v>
      </c>
      <c r="I28" s="366"/>
      <c r="J28" s="365">
        <f>-('Output Planbilanz'!J8-'Input Eröffnungsbilanz'!$K$13+J22)</f>
        <v>-61.220000000000084</v>
      </c>
      <c r="K28" s="371"/>
      <c r="L28" s="365">
        <f>-('Output Planbilanz'!L8-'Input Eröffnungsbilanz'!$K$13+L22)</f>
        <v>-61.220000000000084</v>
      </c>
      <c r="M28" s="372"/>
    </row>
    <row r="29" spans="3:13" s="112" customFormat="1" ht="12.75">
      <c r="C29" s="373" t="str">
        <f>CONCATENATE("Zu- (+) / Abnahme (-) ",'Output Planbilanz'!C23 )</f>
        <v>Zu- (+) / Abnahme (-) Kurzfristige Finanzverbindlichkeiten (Kontokorrentkredit usw.)</v>
      </c>
      <c r="D29" s="374">
        <f>'Output Planbilanz'!F23-'Output Planbilanz'!D23</f>
        <v>0</v>
      </c>
      <c r="E29" s="375"/>
      <c r="F29" s="374">
        <f>'Output Planbilanz'!H23-'Output Planbilanz'!F23</f>
        <v>0</v>
      </c>
      <c r="G29" s="375"/>
      <c r="H29" s="374">
        <f>'Output Planbilanz'!J23-'Output Planbilanz'!H23</f>
        <v>0</v>
      </c>
      <c r="I29" s="375"/>
      <c r="J29" s="374">
        <f>'Output Planbilanz'!L23-'Output Planbilanz'!J23</f>
        <v>0</v>
      </c>
      <c r="K29" s="375"/>
      <c r="L29" s="374">
        <f>'Output Planbilanz'!N23-'Output Planbilanz'!L23</f>
        <v>0</v>
      </c>
      <c r="M29" s="356"/>
    </row>
    <row r="30" spans="3:13" s="112" customFormat="1" ht="12.75">
      <c r="C30" s="347" t="str">
        <f>CONCATENATE("Zu- (+) / Abnahme (-) ",'Output Planbilanz'!C27 )</f>
        <v>Zu- (+) / Abnahme (-) Langfristige Finanzverbindlichkeiten (Hypotheken, Bank usw.)</v>
      </c>
      <c r="D30" s="348">
        <f>'Output Planbilanz'!F27-'Output Planbilanz'!D27</f>
        <v>500</v>
      </c>
      <c r="E30" s="346"/>
      <c r="F30" s="348">
        <f>'Output Planbilanz'!H27-'Output Planbilanz'!F27</f>
        <v>0</v>
      </c>
      <c r="G30" s="346"/>
      <c r="H30" s="348">
        <f>'Output Planbilanz'!J27-'Output Planbilanz'!H27</f>
        <v>0</v>
      </c>
      <c r="I30" s="346"/>
      <c r="J30" s="348">
        <f>'Output Planbilanz'!L27-'Output Planbilanz'!J27</f>
        <v>0</v>
      </c>
      <c r="K30" s="376"/>
      <c r="L30" s="348">
        <f>'Output Planbilanz'!N27-'Output Planbilanz'!L27</f>
        <v>0</v>
      </c>
      <c r="M30" s="346"/>
    </row>
    <row r="31" spans="3:13" s="112" customFormat="1" ht="13.5" thickBot="1">
      <c r="C31" s="349" t="str">
        <f>CONCATENATE("- ",'Output Planerfolgsrechnung'!C20)</f>
        <v>- Finanzaufwand (Fremdkapitalzinsen)</v>
      </c>
      <c r="D31" s="350">
        <f>-D26</f>
        <v>0</v>
      </c>
      <c r="E31" s="351"/>
      <c r="F31" s="350">
        <f>-F26</f>
        <v>-25</v>
      </c>
      <c r="G31" s="351"/>
      <c r="H31" s="350">
        <f>-H26</f>
        <v>-25</v>
      </c>
      <c r="I31" s="351"/>
      <c r="J31" s="350">
        <f>-J26</f>
        <v>0</v>
      </c>
      <c r="K31" s="377"/>
      <c r="L31" s="350">
        <f>-L26</f>
        <v>0</v>
      </c>
      <c r="M31" s="351"/>
    </row>
    <row r="32" spans="3:13" s="112" customFormat="1" ht="13.5" thickBot="1">
      <c r="C32" s="352" t="s">
        <v>85</v>
      </c>
      <c r="D32" s="353">
        <f>SUM(D27,D29:D31)</f>
        <v>186.92666666666668</v>
      </c>
      <c r="E32" s="354">
        <f t="shared" ref="E32:M32" si="3">SUM(E27,E29:E31)</f>
        <v>-313.07333333333332</v>
      </c>
      <c r="F32" s="353">
        <f t="shared" si="3"/>
        <v>-278.39833333333326</v>
      </c>
      <c r="G32" s="354">
        <f t="shared" si="3"/>
        <v>-267.14833333333331</v>
      </c>
      <c r="H32" s="353">
        <f t="shared" si="3"/>
        <v>-74.558333333333337</v>
      </c>
      <c r="I32" s="354">
        <f t="shared" si="3"/>
        <v>-65.308333333333337</v>
      </c>
      <c r="J32" s="353">
        <f t="shared" si="3"/>
        <v>37.25</v>
      </c>
      <c r="K32" s="378">
        <f t="shared" si="3"/>
        <v>37.25</v>
      </c>
      <c r="L32" s="353">
        <f t="shared" si="3"/>
        <v>0</v>
      </c>
      <c r="M32" s="355">
        <f t="shared" si="3"/>
        <v>0</v>
      </c>
    </row>
    <row r="33" spans="3:13" s="112" customFormat="1" ht="12.75">
      <c r="C33" s="349" t="s">
        <v>86</v>
      </c>
      <c r="D33" s="350">
        <f>'Output Planbilanz'!F31-'Output Planbilanz'!D31</f>
        <v>0</v>
      </c>
      <c r="E33" s="351"/>
      <c r="F33" s="350">
        <f>'Output Planbilanz'!H31-'Output Planbilanz'!F31</f>
        <v>0</v>
      </c>
      <c r="G33" s="351"/>
      <c r="H33" s="350">
        <f>'Output Planbilanz'!J31-'Output Planbilanz'!H31</f>
        <v>0</v>
      </c>
      <c r="I33" s="351"/>
      <c r="J33" s="350">
        <f>'Output Planbilanz'!L31-'Output Planbilanz'!J31</f>
        <v>0</v>
      </c>
      <c r="K33" s="377"/>
      <c r="L33" s="350">
        <f>'Output Planbilanz'!N31-'Output Planbilanz'!L31</f>
        <v>0</v>
      </c>
      <c r="M33" s="356"/>
    </row>
    <row r="34" spans="3:13" s="112" customFormat="1" ht="13.5" thickBot="1">
      <c r="C34" s="379" t="s">
        <v>89</v>
      </c>
      <c r="D34" s="348">
        <f>'Input Finanzierung'!D26</f>
        <v>0</v>
      </c>
      <c r="E34" s="346"/>
      <c r="F34" s="348">
        <f>'Input Finanzierung'!F26</f>
        <v>0</v>
      </c>
      <c r="G34" s="346"/>
      <c r="H34" s="348">
        <f>'Input Finanzierung'!H26</f>
        <v>0</v>
      </c>
      <c r="I34" s="346"/>
      <c r="J34" s="348">
        <f>'Input Finanzierung'!J26</f>
        <v>0</v>
      </c>
      <c r="K34" s="376"/>
      <c r="L34" s="348">
        <f>'Input Finanzierung'!L26</f>
        <v>0</v>
      </c>
      <c r="M34" s="346"/>
    </row>
    <row r="35" spans="3:13" s="112" customFormat="1" ht="13.5" thickBot="1">
      <c r="C35" s="380" t="s">
        <v>111</v>
      </c>
      <c r="D35" s="381">
        <f>SUM(D32:D34)</f>
        <v>186.92666666666668</v>
      </c>
      <c r="E35" s="382"/>
      <c r="F35" s="381">
        <f>SUM(F32:F34)</f>
        <v>-278.39833333333326</v>
      </c>
      <c r="G35" s="382"/>
      <c r="H35" s="381">
        <f>SUM(H32:H34)</f>
        <v>-74.558333333333337</v>
      </c>
      <c r="I35" s="382"/>
      <c r="J35" s="381">
        <f>SUM(J32:J34)</f>
        <v>37.25</v>
      </c>
      <c r="K35" s="383"/>
      <c r="L35" s="381">
        <f>SUM(L32:L34)</f>
        <v>0</v>
      </c>
      <c r="M35" s="384"/>
    </row>
    <row r="36" spans="3:13" s="112" customFormat="1" ht="12.75">
      <c r="C36" s="181"/>
      <c r="D36" s="205"/>
      <c r="E36" s="206"/>
      <c r="F36" s="205"/>
      <c r="G36" s="205"/>
      <c r="I36" s="205"/>
      <c r="K36" s="205"/>
      <c r="M36" s="205"/>
    </row>
    <row r="37" spans="3:13" s="205" customFormat="1" ht="12.75"/>
    <row r="38" spans="3:13" s="112" customFormat="1" ht="12.75">
      <c r="C38" s="181"/>
      <c r="D38" s="205"/>
      <c r="E38" s="205"/>
      <c r="F38" s="205"/>
      <c r="G38" s="205"/>
      <c r="I38" s="205"/>
      <c r="K38" s="205"/>
      <c r="M38" s="205"/>
    </row>
    <row r="39" spans="3:13" s="112" customFormat="1" ht="12.75">
      <c r="C39" s="181"/>
      <c r="D39" s="205"/>
      <c r="E39" s="385"/>
      <c r="F39" s="205"/>
      <c r="G39" s="205"/>
      <c r="I39" s="205"/>
      <c r="K39" s="205"/>
      <c r="M39" s="205"/>
    </row>
    <row r="40" spans="3:13" s="112" customFormat="1" ht="12.75">
      <c r="C40" s="181"/>
      <c r="D40" s="205"/>
      <c r="E40" s="206"/>
      <c r="F40" s="205"/>
      <c r="G40" s="205"/>
      <c r="I40" s="205"/>
      <c r="K40" s="205"/>
      <c r="M40" s="205"/>
    </row>
    <row r="41" spans="3:13" s="112" customFormat="1" ht="12.75">
      <c r="C41" s="181"/>
      <c r="D41" s="205"/>
      <c r="E41" s="206"/>
      <c r="F41" s="205"/>
      <c r="G41" s="205"/>
      <c r="I41" s="205"/>
      <c r="K41" s="205"/>
      <c r="M41" s="205"/>
    </row>
    <row r="42" spans="3:13" s="112" customFormat="1" ht="12.75">
      <c r="C42" s="181"/>
      <c r="D42" s="205"/>
      <c r="E42" s="181"/>
      <c r="F42" s="205"/>
      <c r="G42" s="205"/>
      <c r="I42" s="205"/>
      <c r="K42" s="205"/>
      <c r="M42" s="205"/>
    </row>
    <row r="43" spans="3:13" s="112" customFormat="1" ht="12.75">
      <c r="C43" s="181"/>
      <c r="D43" s="205"/>
      <c r="E43" s="206"/>
      <c r="F43" s="205"/>
      <c r="G43" s="205"/>
      <c r="I43" s="205"/>
      <c r="K43" s="205"/>
      <c r="M43" s="205"/>
    </row>
    <row r="44" spans="3:13" s="112" customFormat="1" ht="12.75">
      <c r="C44" s="181"/>
      <c r="D44" s="205"/>
      <c r="E44" s="206"/>
      <c r="F44" s="205"/>
      <c r="G44" s="205"/>
      <c r="I44" s="205"/>
      <c r="K44" s="205"/>
      <c r="M44" s="205"/>
    </row>
    <row r="45" spans="3:13" s="112" customFormat="1" ht="12.75">
      <c r="C45" s="181"/>
      <c r="D45" s="205"/>
      <c r="E45" s="206"/>
      <c r="F45" s="205"/>
      <c r="G45" s="205"/>
      <c r="I45" s="205"/>
      <c r="K45" s="205"/>
      <c r="M45" s="205"/>
    </row>
    <row r="46" spans="3:13" s="112" customFormat="1" ht="12.75">
      <c r="C46" s="181"/>
      <c r="D46" s="205"/>
      <c r="E46" s="206"/>
      <c r="F46" s="205"/>
      <c r="G46" s="205"/>
      <c r="I46" s="205"/>
      <c r="K46" s="205"/>
      <c r="M46" s="205"/>
    </row>
    <row r="47" spans="3:13" s="112" customFormat="1" ht="12.75">
      <c r="C47" s="181"/>
      <c r="D47" s="205"/>
      <c r="E47" s="206"/>
      <c r="F47" s="205"/>
      <c r="G47" s="205"/>
      <c r="I47" s="205"/>
      <c r="K47" s="205"/>
      <c r="M47" s="205"/>
    </row>
    <row r="48" spans="3:13" s="112" customFormat="1" ht="12.75">
      <c r="C48" s="181"/>
      <c r="D48" s="205"/>
      <c r="E48" s="206"/>
      <c r="F48" s="205"/>
      <c r="G48" s="205"/>
      <c r="I48" s="205"/>
      <c r="K48" s="205"/>
      <c r="M48" s="205"/>
    </row>
    <row r="49" spans="3:13" s="112" customFormat="1" ht="12.75">
      <c r="C49" s="181"/>
      <c r="D49" s="205"/>
      <c r="E49" s="206"/>
      <c r="F49" s="205"/>
      <c r="G49" s="205"/>
      <c r="I49" s="205"/>
      <c r="K49" s="205"/>
      <c r="M49" s="205"/>
    </row>
    <row r="50" spans="3:13" s="112" customFormat="1" ht="12.75">
      <c r="C50" s="181"/>
      <c r="D50" s="205"/>
      <c r="E50" s="206"/>
      <c r="F50" s="205"/>
      <c r="G50" s="205"/>
      <c r="I50" s="205"/>
      <c r="K50" s="205"/>
      <c r="M50" s="205"/>
    </row>
    <row r="51" spans="3:13" s="112" customFormat="1" ht="12.75">
      <c r="C51" s="181"/>
      <c r="D51" s="205"/>
      <c r="E51" s="206"/>
      <c r="F51" s="205"/>
      <c r="G51" s="205"/>
      <c r="I51" s="205"/>
      <c r="K51" s="205"/>
      <c r="M51" s="205"/>
    </row>
    <row r="52" spans="3:13" s="112" customFormat="1" ht="12.75">
      <c r="C52" s="181"/>
      <c r="D52" s="205"/>
      <c r="E52" s="206"/>
      <c r="F52" s="205"/>
      <c r="G52" s="205"/>
      <c r="I52" s="205"/>
      <c r="K52" s="205"/>
      <c r="M52" s="205"/>
    </row>
    <row r="53" spans="3:13" s="112" customFormat="1" ht="12.75">
      <c r="C53" s="181"/>
      <c r="D53" s="205"/>
      <c r="E53" s="206"/>
      <c r="F53" s="205"/>
      <c r="G53" s="205"/>
      <c r="I53" s="205"/>
      <c r="K53" s="205"/>
      <c r="M53" s="205"/>
    </row>
    <row r="54" spans="3:13" s="112" customFormat="1" ht="12.75">
      <c r="C54" s="181"/>
      <c r="D54" s="205"/>
      <c r="E54" s="206"/>
      <c r="F54" s="205"/>
      <c r="G54" s="205"/>
      <c r="I54" s="205"/>
      <c r="K54" s="205"/>
      <c r="M54" s="205"/>
    </row>
    <row r="55" spans="3:13" s="112" customFormat="1" ht="12.75">
      <c r="C55" s="181"/>
      <c r="D55" s="205"/>
      <c r="E55" s="206"/>
      <c r="F55" s="205"/>
      <c r="G55" s="205"/>
      <c r="I55" s="205"/>
      <c r="K55" s="205"/>
      <c r="M55" s="205"/>
    </row>
    <row r="56" spans="3:13" s="112" customFormat="1" ht="12.75">
      <c r="C56" s="181"/>
      <c r="D56" s="205"/>
      <c r="E56" s="206"/>
      <c r="F56" s="205"/>
      <c r="G56" s="205"/>
      <c r="I56" s="205"/>
      <c r="K56" s="205"/>
      <c r="M56" s="205"/>
    </row>
    <row r="57" spans="3:13" s="112" customFormat="1" ht="12.75">
      <c r="C57" s="181"/>
      <c r="D57" s="205"/>
      <c r="E57" s="206"/>
      <c r="F57" s="205"/>
      <c r="G57" s="205"/>
      <c r="I57" s="205"/>
      <c r="K57" s="205"/>
      <c r="M57" s="205"/>
    </row>
    <row r="58" spans="3:13" s="112" customFormat="1" ht="12.75">
      <c r="C58" s="181"/>
      <c r="D58" s="205"/>
      <c r="E58" s="206"/>
      <c r="F58" s="205"/>
      <c r="G58" s="205"/>
      <c r="I58" s="205"/>
      <c r="K58" s="205"/>
      <c r="M58" s="205"/>
    </row>
    <row r="59" spans="3:13" s="112" customFormat="1" ht="12.75">
      <c r="C59" s="181"/>
      <c r="D59" s="205"/>
      <c r="E59" s="206"/>
      <c r="F59" s="205"/>
      <c r="G59" s="205"/>
      <c r="I59" s="205"/>
      <c r="K59" s="205"/>
      <c r="M59" s="205"/>
    </row>
    <row r="60" spans="3:13" s="112" customFormat="1" ht="12.75">
      <c r="C60" s="181"/>
      <c r="D60" s="205"/>
      <c r="E60" s="206"/>
      <c r="F60" s="205"/>
      <c r="G60" s="205"/>
      <c r="I60" s="205"/>
      <c r="K60" s="205"/>
      <c r="M60" s="205"/>
    </row>
    <row r="61" spans="3:13" s="112" customFormat="1" ht="12.75">
      <c r="C61" s="181"/>
      <c r="D61" s="205"/>
      <c r="E61" s="206"/>
      <c r="F61" s="205"/>
      <c r="G61" s="205"/>
      <c r="I61" s="205"/>
      <c r="K61" s="205"/>
      <c r="M61" s="205"/>
    </row>
    <row r="62" spans="3:13" s="112" customFormat="1" ht="12.75">
      <c r="C62" s="181"/>
      <c r="D62" s="205"/>
      <c r="E62" s="206"/>
      <c r="F62" s="205"/>
      <c r="G62" s="205"/>
      <c r="I62" s="205"/>
      <c r="K62" s="205"/>
      <c r="M62" s="205"/>
    </row>
    <row r="63" spans="3:13" s="112" customFormat="1" ht="12.75">
      <c r="C63" s="181"/>
      <c r="D63" s="205"/>
      <c r="E63" s="206"/>
      <c r="F63" s="205"/>
      <c r="G63" s="205"/>
      <c r="I63" s="205"/>
      <c r="K63" s="205"/>
      <c r="M63" s="205"/>
    </row>
    <row r="64" spans="3:13" s="112" customFormat="1" ht="12.75">
      <c r="C64" s="181"/>
      <c r="D64" s="205"/>
      <c r="E64" s="206"/>
      <c r="F64" s="205"/>
      <c r="G64" s="205"/>
      <c r="I64" s="205"/>
      <c r="K64" s="205"/>
      <c r="M64" s="205"/>
    </row>
    <row r="65" spans="3:13" s="112" customFormat="1" ht="12.75">
      <c r="C65" s="181"/>
      <c r="D65" s="205"/>
      <c r="E65" s="206"/>
      <c r="F65" s="205"/>
      <c r="G65" s="205"/>
      <c r="I65" s="205"/>
      <c r="K65" s="205"/>
      <c r="M65" s="205"/>
    </row>
    <row r="66" spans="3:13" s="112" customFormat="1" ht="12.75">
      <c r="C66" s="181"/>
      <c r="D66" s="205"/>
      <c r="E66" s="206"/>
      <c r="F66" s="205"/>
      <c r="G66" s="205"/>
      <c r="I66" s="205"/>
      <c r="K66" s="205"/>
      <c r="M66" s="205"/>
    </row>
    <row r="67" spans="3:13" s="112" customFormat="1" ht="12.75">
      <c r="C67" s="181"/>
      <c r="D67" s="205"/>
      <c r="E67" s="206"/>
      <c r="F67" s="205"/>
      <c r="G67" s="205"/>
      <c r="I67" s="205"/>
      <c r="K67" s="205"/>
      <c r="M67" s="205"/>
    </row>
    <row r="68" spans="3:13" s="112" customFormat="1" ht="12.75">
      <c r="C68" s="181"/>
      <c r="D68" s="205"/>
      <c r="E68" s="206"/>
      <c r="F68" s="205"/>
      <c r="G68" s="205"/>
      <c r="I68" s="205"/>
      <c r="K68" s="205"/>
      <c r="M68" s="205"/>
    </row>
    <row r="69" spans="3:13" s="112" customFormat="1" ht="12.75">
      <c r="C69" s="181"/>
      <c r="D69" s="205"/>
      <c r="E69" s="206"/>
      <c r="F69" s="205"/>
      <c r="G69" s="205"/>
      <c r="I69" s="205"/>
      <c r="K69" s="205"/>
      <c r="M69" s="205"/>
    </row>
    <row r="70" spans="3:13" s="112" customFormat="1" ht="12.75">
      <c r="C70" s="181"/>
      <c r="D70" s="205"/>
      <c r="E70" s="206"/>
      <c r="F70" s="205"/>
      <c r="G70" s="205"/>
      <c r="I70" s="205"/>
      <c r="K70" s="205"/>
      <c r="M70" s="205"/>
    </row>
    <row r="71" spans="3:13" s="112" customFormat="1" ht="12.75">
      <c r="C71" s="181"/>
      <c r="D71" s="205"/>
      <c r="E71" s="206"/>
      <c r="F71" s="205"/>
      <c r="G71" s="205"/>
      <c r="I71" s="205"/>
      <c r="K71" s="205"/>
      <c r="M71" s="205"/>
    </row>
    <row r="72" spans="3:13" s="112" customFormat="1" ht="12.75">
      <c r="C72" s="181"/>
      <c r="D72" s="205"/>
      <c r="E72" s="206"/>
      <c r="F72" s="205"/>
      <c r="G72" s="205"/>
      <c r="I72" s="205"/>
      <c r="K72" s="205"/>
      <c r="M72" s="205"/>
    </row>
    <row r="73" spans="3:13" s="112" customFormat="1" ht="12.75">
      <c r="C73" s="181"/>
      <c r="D73" s="205"/>
      <c r="E73" s="206"/>
      <c r="F73" s="205"/>
      <c r="G73" s="205"/>
      <c r="I73" s="205"/>
      <c r="K73" s="205"/>
      <c r="M73" s="205"/>
    </row>
    <row r="74" spans="3:13" s="112" customFormat="1" ht="12.75">
      <c r="C74" s="181"/>
      <c r="D74" s="205"/>
      <c r="E74" s="206"/>
      <c r="F74" s="205"/>
      <c r="G74" s="205"/>
      <c r="I74" s="205"/>
      <c r="K74" s="205"/>
      <c r="M74" s="205"/>
    </row>
    <row r="75" spans="3:13" s="112" customFormat="1" ht="12.75">
      <c r="C75" s="181"/>
      <c r="D75" s="205"/>
      <c r="E75" s="206"/>
      <c r="F75" s="205"/>
      <c r="G75" s="205"/>
      <c r="I75" s="205"/>
      <c r="K75" s="205"/>
      <c r="M75" s="205"/>
    </row>
    <row r="76" spans="3:13" s="112" customFormat="1" ht="12.75">
      <c r="C76" s="181"/>
      <c r="D76" s="205"/>
      <c r="E76" s="206"/>
      <c r="F76" s="205"/>
      <c r="G76" s="205"/>
      <c r="I76" s="205"/>
      <c r="K76" s="205"/>
      <c r="M76" s="205"/>
    </row>
    <row r="77" spans="3:13" s="112" customFormat="1" ht="12.75">
      <c r="C77" s="181"/>
      <c r="D77" s="205"/>
      <c r="E77" s="206"/>
      <c r="F77" s="205"/>
      <c r="G77" s="205"/>
      <c r="I77" s="205"/>
      <c r="K77" s="205"/>
      <c r="M77" s="205"/>
    </row>
    <row r="78" spans="3:13" s="112" customFormat="1" ht="12.75">
      <c r="C78" s="181"/>
      <c r="D78" s="205"/>
      <c r="E78" s="206"/>
      <c r="F78" s="205"/>
      <c r="G78" s="205"/>
      <c r="I78" s="205"/>
      <c r="K78" s="205"/>
      <c r="M78" s="205"/>
    </row>
    <row r="79" spans="3:13" s="112" customFormat="1" ht="12.75">
      <c r="C79" s="181"/>
      <c r="D79" s="205"/>
      <c r="E79" s="206"/>
      <c r="F79" s="205"/>
      <c r="G79" s="205"/>
      <c r="I79" s="205"/>
      <c r="K79" s="205"/>
      <c r="M79" s="205"/>
    </row>
    <row r="80" spans="3:13" s="112" customFormat="1" ht="12.75">
      <c r="C80" s="181"/>
      <c r="D80" s="205"/>
      <c r="E80" s="206"/>
      <c r="F80" s="205"/>
      <c r="G80" s="205"/>
      <c r="I80" s="205"/>
      <c r="K80" s="205"/>
      <c r="M80" s="205"/>
    </row>
    <row r="81" spans="3:13" s="112" customFormat="1" ht="12.75">
      <c r="C81" s="181"/>
      <c r="D81" s="205"/>
      <c r="E81" s="206"/>
      <c r="F81" s="205"/>
      <c r="G81" s="205"/>
      <c r="I81" s="205"/>
      <c r="K81" s="205"/>
      <c r="M81" s="205"/>
    </row>
    <row r="82" spans="3:13" s="112" customFormat="1" ht="12.75">
      <c r="C82" s="181"/>
      <c r="D82" s="205"/>
      <c r="E82" s="206"/>
      <c r="F82" s="205"/>
      <c r="G82" s="205"/>
      <c r="I82" s="205"/>
      <c r="K82" s="205"/>
      <c r="M82" s="205"/>
    </row>
    <row r="83" spans="3:13" s="112" customFormat="1" ht="12.75">
      <c r="C83" s="181"/>
      <c r="D83" s="205"/>
      <c r="E83" s="206"/>
      <c r="F83" s="205"/>
      <c r="G83" s="205"/>
      <c r="I83" s="205"/>
      <c r="K83" s="205"/>
      <c r="M83" s="205"/>
    </row>
    <row r="84" spans="3:13" s="112" customFormat="1" ht="12.75">
      <c r="C84" s="181"/>
      <c r="D84" s="205"/>
      <c r="E84" s="206"/>
      <c r="F84" s="205"/>
      <c r="G84" s="205"/>
      <c r="I84" s="205"/>
      <c r="K84" s="205"/>
      <c r="M84" s="205"/>
    </row>
    <row r="85" spans="3:13" s="112" customFormat="1" ht="12.75">
      <c r="C85" s="181"/>
      <c r="D85" s="205"/>
      <c r="E85" s="206"/>
      <c r="F85" s="205"/>
      <c r="G85" s="205"/>
      <c r="I85" s="205"/>
      <c r="K85" s="205"/>
      <c r="M85" s="205"/>
    </row>
    <row r="86" spans="3:13" s="112" customFormat="1" ht="12.75">
      <c r="C86" s="181"/>
      <c r="D86" s="205"/>
      <c r="E86" s="206"/>
      <c r="F86" s="205"/>
      <c r="G86" s="205"/>
      <c r="I86" s="205"/>
      <c r="K86" s="205"/>
      <c r="M86" s="205"/>
    </row>
    <row r="87" spans="3:13" s="112" customFormat="1" ht="12.75">
      <c r="C87" s="181"/>
      <c r="D87" s="205"/>
      <c r="E87" s="206"/>
      <c r="F87" s="205"/>
      <c r="G87" s="205"/>
      <c r="I87" s="205"/>
      <c r="K87" s="205"/>
      <c r="M87" s="205"/>
    </row>
    <row r="88" spans="3:13" s="112" customFormat="1" ht="12.75">
      <c r="C88" s="181"/>
      <c r="D88" s="205"/>
      <c r="E88" s="206"/>
      <c r="F88" s="205"/>
      <c r="G88" s="205"/>
      <c r="I88" s="205"/>
      <c r="K88" s="205"/>
      <c r="M88" s="205"/>
    </row>
    <row r="89" spans="3:13" s="112" customFormat="1" ht="12.75">
      <c r="C89" s="181"/>
      <c r="D89" s="205"/>
      <c r="E89" s="206"/>
      <c r="F89" s="205"/>
      <c r="G89" s="205"/>
      <c r="I89" s="205"/>
      <c r="K89" s="205"/>
      <c r="M89" s="205"/>
    </row>
    <row r="90" spans="3:13" s="112" customFormat="1" ht="12.75">
      <c r="C90" s="181"/>
      <c r="D90" s="205"/>
      <c r="E90" s="206"/>
      <c r="F90" s="205"/>
      <c r="G90" s="205"/>
      <c r="I90" s="205"/>
      <c r="K90" s="205"/>
      <c r="M90" s="205"/>
    </row>
    <row r="91" spans="3:13" s="112" customFormat="1" ht="12.75">
      <c r="C91" s="181"/>
      <c r="D91" s="205"/>
      <c r="E91" s="206"/>
      <c r="F91" s="205"/>
      <c r="G91" s="205"/>
      <c r="I91" s="205"/>
      <c r="K91" s="205"/>
      <c r="M91" s="205"/>
    </row>
    <row r="92" spans="3:13" s="112" customFormat="1" ht="12.75">
      <c r="C92" s="181"/>
      <c r="D92" s="205"/>
      <c r="E92" s="206"/>
      <c r="F92" s="205"/>
      <c r="G92" s="205"/>
      <c r="I92" s="205"/>
      <c r="K92" s="205"/>
      <c r="M92" s="205"/>
    </row>
    <row r="93" spans="3:13" s="112" customFormat="1" ht="12.75">
      <c r="C93" s="181"/>
      <c r="D93" s="205"/>
      <c r="E93" s="206"/>
      <c r="F93" s="205"/>
      <c r="G93" s="205"/>
      <c r="I93" s="205"/>
      <c r="K93" s="205"/>
      <c r="M93" s="205"/>
    </row>
    <row r="94" spans="3:13" s="112" customFormat="1" ht="12.75">
      <c r="C94" s="181"/>
      <c r="D94" s="205"/>
      <c r="E94" s="206"/>
      <c r="F94" s="205"/>
      <c r="G94" s="205"/>
      <c r="I94" s="205"/>
      <c r="K94" s="205"/>
      <c r="M94" s="205"/>
    </row>
    <row r="95" spans="3:13" s="112" customFormat="1" ht="12.75">
      <c r="C95" s="181"/>
      <c r="D95" s="205"/>
      <c r="E95" s="206"/>
      <c r="F95" s="205"/>
      <c r="G95" s="205"/>
      <c r="I95" s="205"/>
      <c r="K95" s="205"/>
      <c r="M95" s="205"/>
    </row>
    <row r="96" spans="3:13" s="112" customFormat="1" ht="12.75">
      <c r="C96" s="181"/>
      <c r="D96" s="205"/>
      <c r="E96" s="206"/>
      <c r="F96" s="205"/>
      <c r="G96" s="205"/>
      <c r="I96" s="205"/>
      <c r="K96" s="205"/>
      <c r="M96" s="205"/>
    </row>
    <row r="97" spans="3:13" s="112" customFormat="1" ht="12.75">
      <c r="C97" s="181"/>
      <c r="D97" s="205"/>
      <c r="E97" s="206"/>
      <c r="F97" s="205"/>
      <c r="G97" s="205"/>
      <c r="I97" s="205"/>
      <c r="K97" s="205"/>
      <c r="M97" s="205"/>
    </row>
    <row r="98" spans="3:13" s="112" customFormat="1" ht="12.75">
      <c r="C98" s="181"/>
      <c r="D98" s="205"/>
      <c r="E98" s="206"/>
      <c r="F98" s="205"/>
      <c r="G98" s="205"/>
      <c r="I98" s="205"/>
      <c r="K98" s="205"/>
      <c r="M98" s="205"/>
    </row>
    <row r="99" spans="3:13" s="112" customFormat="1" ht="12.75">
      <c r="C99" s="181"/>
      <c r="D99" s="205"/>
      <c r="E99" s="206"/>
      <c r="F99" s="205"/>
      <c r="G99" s="205"/>
      <c r="I99" s="205"/>
      <c r="K99" s="205"/>
      <c r="M99" s="205"/>
    </row>
    <row r="100" spans="3:13" s="112" customFormat="1" ht="12.75">
      <c r="C100" s="181"/>
      <c r="D100" s="205"/>
      <c r="E100" s="206"/>
      <c r="F100" s="205"/>
      <c r="G100" s="205"/>
      <c r="I100" s="205"/>
      <c r="K100" s="205"/>
      <c r="M100" s="205"/>
    </row>
    <row r="101" spans="3:13" s="112" customFormat="1" ht="12.75">
      <c r="C101" s="181"/>
      <c r="D101" s="205"/>
      <c r="E101" s="206"/>
      <c r="F101" s="205"/>
      <c r="G101" s="205"/>
      <c r="I101" s="205"/>
      <c r="K101" s="205"/>
      <c r="M101" s="205"/>
    </row>
    <row r="102" spans="3:13" s="112" customFormat="1" ht="12.75">
      <c r="C102" s="181"/>
      <c r="D102" s="205"/>
      <c r="E102" s="206"/>
      <c r="F102" s="205"/>
      <c r="G102" s="205"/>
      <c r="I102" s="205"/>
      <c r="K102" s="205"/>
      <c r="M102" s="205"/>
    </row>
    <row r="103" spans="3:13" s="112" customFormat="1" ht="12.75">
      <c r="C103" s="181"/>
      <c r="D103" s="205"/>
      <c r="E103" s="206"/>
      <c r="F103" s="205"/>
      <c r="G103" s="205"/>
      <c r="I103" s="205"/>
      <c r="K103" s="205"/>
      <c r="M103" s="205"/>
    </row>
    <row r="104" spans="3:13" s="112" customFormat="1" ht="12.75">
      <c r="C104" s="181"/>
      <c r="D104" s="205"/>
      <c r="E104" s="206"/>
      <c r="F104" s="205"/>
      <c r="G104" s="205"/>
      <c r="I104" s="205"/>
      <c r="K104" s="205"/>
      <c r="M104" s="205"/>
    </row>
    <row r="105" spans="3:13" s="112" customFormat="1" ht="12.75">
      <c r="C105" s="181"/>
      <c r="D105" s="205"/>
      <c r="E105" s="206"/>
      <c r="F105" s="205"/>
      <c r="G105" s="205"/>
      <c r="I105" s="205"/>
      <c r="K105" s="205"/>
      <c r="M105" s="205"/>
    </row>
    <row r="106" spans="3:13" s="112" customFormat="1" ht="12.75">
      <c r="C106" s="181"/>
      <c r="D106" s="205"/>
      <c r="E106" s="206"/>
      <c r="F106" s="205"/>
      <c r="G106" s="205"/>
      <c r="I106" s="205"/>
      <c r="K106" s="205"/>
      <c r="M106" s="205"/>
    </row>
    <row r="107" spans="3:13" s="112" customFormat="1" ht="12.75">
      <c r="C107" s="181"/>
      <c r="D107" s="205"/>
      <c r="E107" s="206"/>
      <c r="F107" s="205"/>
      <c r="G107" s="205"/>
      <c r="I107" s="205"/>
      <c r="K107" s="205"/>
      <c r="M107" s="205"/>
    </row>
    <row r="108" spans="3:13" s="112" customFormat="1" ht="12.75">
      <c r="C108" s="181"/>
      <c r="D108" s="205"/>
      <c r="E108" s="206"/>
      <c r="F108" s="205"/>
      <c r="G108" s="205"/>
      <c r="I108" s="205"/>
      <c r="K108" s="205"/>
      <c r="M108" s="205"/>
    </row>
    <row r="109" spans="3:13" s="112" customFormat="1" ht="12.75">
      <c r="C109" s="181"/>
      <c r="D109" s="205"/>
      <c r="E109" s="206"/>
      <c r="F109" s="205"/>
      <c r="G109" s="205"/>
      <c r="I109" s="205"/>
      <c r="K109" s="205"/>
      <c r="M109" s="205"/>
    </row>
    <row r="110" spans="3:13" s="112" customFormat="1" ht="12.75">
      <c r="C110" s="181"/>
      <c r="D110" s="205"/>
      <c r="E110" s="206"/>
      <c r="F110" s="205"/>
      <c r="G110" s="205"/>
      <c r="I110" s="205"/>
      <c r="K110" s="205"/>
      <c r="M110" s="205"/>
    </row>
    <row r="111" spans="3:13" s="112" customFormat="1" ht="12.75">
      <c r="C111" s="181"/>
      <c r="D111" s="205"/>
      <c r="E111" s="206"/>
      <c r="F111" s="205"/>
      <c r="G111" s="205"/>
      <c r="I111" s="205"/>
      <c r="K111" s="205"/>
      <c r="M111" s="205"/>
    </row>
    <row r="112" spans="3:13" s="112" customFormat="1" ht="12.75">
      <c r="C112" s="181"/>
      <c r="D112" s="205"/>
      <c r="E112" s="206"/>
      <c r="F112" s="205"/>
      <c r="G112" s="205"/>
      <c r="I112" s="205"/>
      <c r="K112" s="205"/>
      <c r="M112" s="205"/>
    </row>
    <row r="113" spans="3:13" s="112" customFormat="1" ht="12.75">
      <c r="C113" s="181"/>
      <c r="D113" s="205"/>
      <c r="E113" s="206"/>
      <c r="F113" s="205"/>
      <c r="G113" s="205"/>
      <c r="I113" s="205"/>
      <c r="K113" s="205"/>
      <c r="M113" s="205"/>
    </row>
    <row r="114" spans="3:13" s="112" customFormat="1" ht="12.75">
      <c r="C114" s="181"/>
      <c r="D114" s="205"/>
      <c r="E114" s="206"/>
      <c r="F114" s="205"/>
      <c r="G114" s="205"/>
      <c r="I114" s="205"/>
      <c r="K114" s="205"/>
      <c r="M114" s="205"/>
    </row>
    <row r="115" spans="3:13" s="112" customFormat="1" ht="12.75">
      <c r="C115" s="181"/>
      <c r="D115" s="205"/>
      <c r="E115" s="206"/>
      <c r="F115" s="205"/>
      <c r="G115" s="205"/>
      <c r="I115" s="205"/>
      <c r="K115" s="205"/>
      <c r="M115" s="205"/>
    </row>
    <row r="116" spans="3:13" s="112" customFormat="1" ht="12.75">
      <c r="C116" s="181"/>
      <c r="D116" s="205"/>
      <c r="E116" s="206"/>
      <c r="F116" s="205"/>
      <c r="G116" s="205"/>
      <c r="I116" s="205"/>
      <c r="K116" s="205"/>
      <c r="M116" s="205"/>
    </row>
    <row r="117" spans="3:13" s="112" customFormat="1" ht="12.75">
      <c r="C117" s="181"/>
      <c r="D117" s="205"/>
      <c r="E117" s="206"/>
      <c r="F117" s="205"/>
      <c r="G117" s="205"/>
      <c r="I117" s="205"/>
      <c r="K117" s="205"/>
      <c r="M117" s="205"/>
    </row>
    <row r="118" spans="3:13" s="112" customFormat="1" ht="12.75">
      <c r="C118" s="181"/>
      <c r="D118" s="205"/>
      <c r="E118" s="206"/>
      <c r="F118" s="205"/>
      <c r="G118" s="205"/>
      <c r="I118" s="205"/>
      <c r="K118" s="205"/>
      <c r="M118" s="205"/>
    </row>
    <row r="119" spans="3:13" s="112" customFormat="1" ht="12.75">
      <c r="C119" s="181"/>
      <c r="D119" s="205"/>
      <c r="E119" s="206"/>
      <c r="F119" s="205"/>
      <c r="G119" s="205"/>
      <c r="I119" s="205"/>
      <c r="K119" s="205"/>
      <c r="M119" s="205"/>
    </row>
    <row r="120" spans="3:13" s="112" customFormat="1" ht="12.75">
      <c r="C120" s="181"/>
      <c r="D120" s="205"/>
      <c r="E120" s="206"/>
      <c r="F120" s="205"/>
      <c r="G120" s="205"/>
      <c r="I120" s="205"/>
      <c r="K120" s="205"/>
      <c r="M120" s="205"/>
    </row>
    <row r="121" spans="3:13" s="112" customFormat="1" ht="12.75">
      <c r="C121" s="181"/>
      <c r="D121" s="205"/>
      <c r="E121" s="206"/>
      <c r="F121" s="205"/>
      <c r="G121" s="205"/>
      <c r="I121" s="205"/>
      <c r="K121" s="205"/>
      <c r="M121" s="205"/>
    </row>
    <row r="122" spans="3:13" s="112" customFormat="1" ht="12.75">
      <c r="C122" s="181"/>
      <c r="D122" s="205"/>
      <c r="E122" s="206"/>
      <c r="F122" s="205"/>
      <c r="G122" s="205"/>
      <c r="I122" s="205"/>
      <c r="K122" s="205"/>
      <c r="M122" s="205"/>
    </row>
    <row r="123" spans="3:13" s="112" customFormat="1" ht="12.75">
      <c r="C123" s="181"/>
      <c r="D123" s="205"/>
      <c r="E123" s="206"/>
      <c r="F123" s="205"/>
      <c r="G123" s="205"/>
      <c r="I123" s="205"/>
      <c r="K123" s="205"/>
      <c r="M123" s="205"/>
    </row>
    <row r="124" spans="3:13" s="112" customFormat="1" ht="12.75">
      <c r="C124" s="181"/>
      <c r="D124" s="205"/>
      <c r="E124" s="206"/>
      <c r="F124" s="205"/>
      <c r="G124" s="205"/>
      <c r="I124" s="205"/>
      <c r="K124" s="205"/>
      <c r="M124" s="205"/>
    </row>
    <row r="125" spans="3:13" s="112" customFormat="1" ht="12.75">
      <c r="C125" s="181"/>
      <c r="D125" s="205"/>
      <c r="E125" s="206"/>
      <c r="F125" s="205"/>
      <c r="G125" s="205"/>
      <c r="I125" s="205"/>
      <c r="K125" s="205"/>
      <c r="M125" s="205"/>
    </row>
    <row r="126" spans="3:13" s="112" customFormat="1" ht="12.75">
      <c r="C126" s="181"/>
      <c r="D126" s="205"/>
      <c r="E126" s="206"/>
      <c r="F126" s="205"/>
      <c r="G126" s="205"/>
      <c r="I126" s="205"/>
      <c r="K126" s="205"/>
      <c r="M126" s="205"/>
    </row>
    <row r="127" spans="3:13" s="112" customFormat="1" ht="12.75">
      <c r="C127" s="181"/>
      <c r="D127" s="205"/>
      <c r="E127" s="206"/>
      <c r="F127" s="205"/>
      <c r="G127" s="205"/>
      <c r="I127" s="205"/>
      <c r="K127" s="205"/>
      <c r="M127" s="205"/>
    </row>
    <row r="128" spans="3:13" s="112" customFormat="1" ht="12.75">
      <c r="C128" s="181"/>
      <c r="D128" s="205"/>
      <c r="E128" s="206"/>
      <c r="F128" s="205"/>
      <c r="G128" s="205"/>
      <c r="I128" s="205"/>
      <c r="K128" s="205"/>
      <c r="M128" s="205"/>
    </row>
    <row r="129" spans="3:13" s="112" customFormat="1" ht="12.75">
      <c r="C129" s="181"/>
      <c r="D129" s="205"/>
      <c r="E129" s="206"/>
      <c r="F129" s="205"/>
      <c r="G129" s="205"/>
      <c r="I129" s="205"/>
      <c r="K129" s="205"/>
      <c r="M129" s="205"/>
    </row>
    <row r="130" spans="3:13" s="112" customFormat="1" ht="12.75">
      <c r="C130" s="181"/>
      <c r="D130" s="205"/>
      <c r="E130" s="206"/>
      <c r="F130" s="205"/>
      <c r="G130" s="205"/>
      <c r="I130" s="205"/>
      <c r="K130" s="205"/>
      <c r="M130" s="205"/>
    </row>
    <row r="131" spans="3:13" s="112" customFormat="1" ht="12.75">
      <c r="C131" s="181"/>
      <c r="D131" s="205"/>
      <c r="E131" s="206"/>
      <c r="F131" s="205"/>
      <c r="G131" s="205"/>
      <c r="I131" s="205"/>
      <c r="K131" s="205"/>
      <c r="M131" s="205"/>
    </row>
    <row r="132" spans="3:13" s="112" customFormat="1" ht="12.75">
      <c r="C132" s="181"/>
      <c r="D132" s="205"/>
      <c r="E132" s="206"/>
      <c r="F132" s="205"/>
      <c r="G132" s="205"/>
      <c r="I132" s="205"/>
      <c r="K132" s="205"/>
      <c r="M132" s="205"/>
    </row>
    <row r="133" spans="3:13" s="112" customFormat="1" ht="12.75">
      <c r="C133" s="181"/>
      <c r="D133" s="205"/>
      <c r="E133" s="206"/>
      <c r="F133" s="205"/>
      <c r="G133" s="205"/>
      <c r="I133" s="205"/>
      <c r="K133" s="205"/>
      <c r="M133" s="205"/>
    </row>
    <row r="134" spans="3:13" s="112" customFormat="1" ht="12.75">
      <c r="C134" s="181"/>
      <c r="D134" s="205"/>
      <c r="E134" s="206"/>
      <c r="F134" s="205"/>
      <c r="G134" s="205"/>
      <c r="I134" s="205"/>
      <c r="K134" s="205"/>
      <c r="M134" s="205"/>
    </row>
    <row r="135" spans="3:13" s="112" customFormat="1" ht="12.75">
      <c r="C135" s="181"/>
      <c r="D135" s="205"/>
      <c r="E135" s="206"/>
      <c r="F135" s="205"/>
      <c r="G135" s="205"/>
      <c r="I135" s="205"/>
      <c r="K135" s="205"/>
      <c r="M135" s="205"/>
    </row>
    <row r="136" spans="3:13" s="112" customFormat="1" ht="12.75">
      <c r="C136" s="181"/>
      <c r="D136" s="205"/>
      <c r="E136" s="206"/>
      <c r="F136" s="205"/>
      <c r="G136" s="205"/>
      <c r="I136" s="205"/>
      <c r="K136" s="205"/>
      <c r="M136" s="205"/>
    </row>
    <row r="137" spans="3:13" s="112" customFormat="1" ht="12.75">
      <c r="C137" s="181"/>
      <c r="D137" s="205"/>
      <c r="E137" s="206"/>
      <c r="F137" s="205"/>
      <c r="G137" s="205"/>
      <c r="I137" s="205"/>
      <c r="K137" s="205"/>
      <c r="M137" s="205"/>
    </row>
    <row r="138" spans="3:13" s="112" customFormat="1" ht="12.75">
      <c r="C138" s="181"/>
      <c r="D138" s="205"/>
      <c r="E138" s="206"/>
      <c r="F138" s="205"/>
      <c r="G138" s="205"/>
      <c r="I138" s="205"/>
      <c r="K138" s="205"/>
      <c r="M138" s="205"/>
    </row>
    <row r="139" spans="3:13" s="112" customFormat="1" ht="12.75">
      <c r="C139" s="181"/>
      <c r="D139" s="205"/>
      <c r="E139" s="206"/>
      <c r="F139" s="205"/>
      <c r="G139" s="205"/>
      <c r="I139" s="205"/>
      <c r="K139" s="205"/>
      <c r="M139" s="205"/>
    </row>
    <row r="140" spans="3:13" s="112" customFormat="1" ht="12.75">
      <c r="C140" s="181"/>
      <c r="D140" s="205"/>
      <c r="E140" s="206"/>
      <c r="F140" s="205"/>
      <c r="G140" s="205"/>
      <c r="I140" s="205"/>
      <c r="K140" s="205"/>
      <c r="M140" s="205"/>
    </row>
    <row r="141" spans="3:13" s="112" customFormat="1" ht="12.75">
      <c r="C141" s="181"/>
      <c r="D141" s="205"/>
      <c r="E141" s="206"/>
      <c r="F141" s="205"/>
      <c r="G141" s="205"/>
      <c r="I141" s="205"/>
      <c r="K141" s="205"/>
      <c r="M141" s="205"/>
    </row>
    <row r="142" spans="3:13" s="112" customFormat="1" ht="12.75">
      <c r="C142" s="181"/>
      <c r="D142" s="205"/>
      <c r="E142" s="206"/>
      <c r="F142" s="205"/>
      <c r="G142" s="205"/>
      <c r="I142" s="205"/>
      <c r="K142" s="205"/>
      <c r="M142" s="205"/>
    </row>
    <row r="143" spans="3:13" s="112" customFormat="1" ht="12.75">
      <c r="C143" s="181"/>
      <c r="D143" s="205"/>
      <c r="E143" s="206"/>
      <c r="F143" s="205"/>
      <c r="G143" s="205"/>
      <c r="I143" s="205"/>
      <c r="K143" s="205"/>
      <c r="M143" s="205"/>
    </row>
    <row r="144" spans="3:13" s="112" customFormat="1" ht="12.75">
      <c r="C144" s="181"/>
      <c r="D144" s="205"/>
      <c r="E144" s="206"/>
      <c r="F144" s="205"/>
      <c r="G144" s="205"/>
      <c r="I144" s="205"/>
      <c r="K144" s="205"/>
      <c r="M144" s="205"/>
    </row>
    <row r="145" spans="3:13" s="112" customFormat="1" ht="12.75">
      <c r="C145" s="181"/>
      <c r="D145" s="205"/>
      <c r="E145" s="206"/>
      <c r="F145" s="205"/>
      <c r="G145" s="205"/>
      <c r="I145" s="205"/>
      <c r="K145" s="205"/>
      <c r="M145" s="205"/>
    </row>
    <row r="146" spans="3:13" s="112" customFormat="1" ht="12.75">
      <c r="C146" s="181"/>
      <c r="D146" s="205"/>
      <c r="E146" s="206"/>
      <c r="F146" s="205"/>
      <c r="G146" s="205"/>
      <c r="I146" s="205"/>
      <c r="K146" s="205"/>
      <c r="M146" s="205"/>
    </row>
    <row r="147" spans="3:13" s="112" customFormat="1" ht="12.75">
      <c r="C147" s="181"/>
      <c r="D147" s="205"/>
      <c r="E147" s="206"/>
      <c r="F147" s="205"/>
      <c r="G147" s="205"/>
      <c r="I147" s="205"/>
      <c r="K147" s="205"/>
      <c r="M147" s="205"/>
    </row>
    <row r="148" spans="3:13" s="112" customFormat="1" ht="12.75">
      <c r="C148" s="181"/>
      <c r="D148" s="205"/>
      <c r="E148" s="206"/>
      <c r="F148" s="205"/>
      <c r="G148" s="205"/>
      <c r="I148" s="205"/>
      <c r="K148" s="205"/>
      <c r="M148" s="205"/>
    </row>
    <row r="149" spans="3:13" s="112" customFormat="1" ht="12.75">
      <c r="C149" s="181"/>
      <c r="D149" s="205"/>
      <c r="E149" s="206"/>
      <c r="F149" s="205"/>
      <c r="G149" s="205"/>
      <c r="I149" s="205"/>
      <c r="K149" s="205"/>
      <c r="M149" s="205"/>
    </row>
    <row r="150" spans="3:13" s="112" customFormat="1" ht="12.75">
      <c r="C150" s="181"/>
      <c r="D150" s="205"/>
      <c r="E150" s="206"/>
      <c r="F150" s="205"/>
      <c r="G150" s="205"/>
      <c r="I150" s="205"/>
      <c r="K150" s="205"/>
      <c r="M150" s="205"/>
    </row>
    <row r="151" spans="3:13" s="112" customFormat="1" ht="12.75">
      <c r="C151" s="181"/>
      <c r="D151" s="205"/>
      <c r="E151" s="206"/>
      <c r="F151" s="205"/>
      <c r="G151" s="205"/>
      <c r="I151" s="205"/>
      <c r="K151" s="205"/>
      <c r="M151" s="205"/>
    </row>
    <row r="152" spans="3:13" s="112" customFormat="1" ht="12.75">
      <c r="C152" s="181"/>
      <c r="D152" s="205"/>
      <c r="E152" s="206"/>
      <c r="F152" s="205"/>
      <c r="G152" s="205"/>
      <c r="I152" s="205"/>
      <c r="K152" s="205"/>
      <c r="M152" s="205"/>
    </row>
    <row r="153" spans="3:13" s="112" customFormat="1" ht="12.75">
      <c r="C153" s="181"/>
      <c r="D153" s="205"/>
      <c r="E153" s="206"/>
      <c r="F153" s="205"/>
      <c r="G153" s="205"/>
      <c r="I153" s="205"/>
      <c r="K153" s="205"/>
      <c r="M153" s="205"/>
    </row>
    <row r="154" spans="3:13" s="112" customFormat="1" ht="12.75">
      <c r="C154" s="181"/>
      <c r="D154" s="205"/>
      <c r="E154" s="206"/>
      <c r="F154" s="205"/>
      <c r="G154" s="205"/>
      <c r="I154" s="205"/>
      <c r="K154" s="205"/>
      <c r="M154" s="205"/>
    </row>
    <row r="155" spans="3:13" s="112" customFormat="1" ht="12.75">
      <c r="C155" s="181"/>
      <c r="D155" s="205"/>
      <c r="E155" s="206"/>
      <c r="F155" s="205"/>
      <c r="G155" s="205"/>
      <c r="I155" s="205"/>
      <c r="K155" s="205"/>
      <c r="M155" s="205"/>
    </row>
    <row r="156" spans="3:13" s="112" customFormat="1" ht="12.75">
      <c r="C156" s="181"/>
      <c r="D156" s="205"/>
      <c r="E156" s="206"/>
      <c r="F156" s="205"/>
      <c r="G156" s="205"/>
      <c r="I156" s="205"/>
      <c r="K156" s="205"/>
      <c r="M156" s="205"/>
    </row>
    <row r="157" spans="3:13" s="112" customFormat="1" ht="12.75">
      <c r="C157" s="181"/>
      <c r="D157" s="205"/>
      <c r="E157" s="206"/>
      <c r="F157" s="205"/>
      <c r="G157" s="205"/>
      <c r="I157" s="205"/>
      <c r="K157" s="205"/>
      <c r="M157" s="205"/>
    </row>
    <row r="158" spans="3:13" s="112" customFormat="1" ht="12.75">
      <c r="C158" s="181"/>
      <c r="D158" s="205"/>
      <c r="E158" s="206"/>
      <c r="F158" s="205"/>
      <c r="G158" s="205"/>
      <c r="I158" s="205"/>
      <c r="K158" s="205"/>
      <c r="M158" s="205"/>
    </row>
    <row r="159" spans="3:13" s="112" customFormat="1" ht="12.75">
      <c r="C159" s="181"/>
      <c r="D159" s="205"/>
      <c r="E159" s="206"/>
      <c r="F159" s="205"/>
      <c r="G159" s="205"/>
      <c r="I159" s="205"/>
      <c r="K159" s="205"/>
      <c r="M159" s="205"/>
    </row>
    <row r="160" spans="3:13" s="112" customFormat="1" ht="12.75">
      <c r="C160" s="181"/>
      <c r="D160" s="205"/>
      <c r="E160" s="206"/>
      <c r="F160" s="205"/>
      <c r="G160" s="205"/>
      <c r="I160" s="205"/>
      <c r="K160" s="205"/>
      <c r="M160" s="205"/>
    </row>
    <row r="161" spans="3:13" s="112" customFormat="1" ht="12.75">
      <c r="C161" s="181"/>
      <c r="D161" s="205"/>
      <c r="E161" s="206"/>
      <c r="F161" s="205"/>
      <c r="G161" s="205"/>
      <c r="I161" s="205"/>
      <c r="K161" s="205"/>
      <c r="M161" s="205"/>
    </row>
    <row r="162" spans="3:13" s="112" customFormat="1" ht="12.75">
      <c r="C162" s="181"/>
      <c r="D162" s="205"/>
      <c r="E162" s="206"/>
      <c r="F162" s="205"/>
      <c r="G162" s="205"/>
      <c r="I162" s="205"/>
      <c r="K162" s="205"/>
      <c r="M162" s="205"/>
    </row>
    <row r="163" spans="3:13" s="112" customFormat="1" ht="12.75">
      <c r="C163" s="181"/>
      <c r="D163" s="205"/>
      <c r="E163" s="206"/>
      <c r="F163" s="205"/>
      <c r="G163" s="205"/>
      <c r="I163" s="205"/>
      <c r="K163" s="205"/>
      <c r="M163" s="205"/>
    </row>
    <row r="164" spans="3:13" s="112" customFormat="1" ht="12.75">
      <c r="C164" s="181"/>
      <c r="D164" s="205"/>
      <c r="E164" s="206"/>
      <c r="F164" s="205"/>
      <c r="G164" s="205"/>
      <c r="I164" s="205"/>
      <c r="K164" s="205"/>
      <c r="M164" s="205"/>
    </row>
    <row r="165" spans="3:13" s="112" customFormat="1" ht="12.75">
      <c r="C165" s="181"/>
      <c r="D165" s="205"/>
      <c r="E165" s="206"/>
      <c r="F165" s="205"/>
      <c r="G165" s="205"/>
      <c r="I165" s="205"/>
      <c r="K165" s="205"/>
      <c r="M165" s="205"/>
    </row>
    <row r="166" spans="3:13" s="112" customFormat="1" ht="12.75">
      <c r="C166" s="181"/>
      <c r="D166" s="205"/>
      <c r="E166" s="206"/>
      <c r="F166" s="205"/>
      <c r="G166" s="205"/>
      <c r="I166" s="205"/>
      <c r="K166" s="205"/>
      <c r="M166" s="205"/>
    </row>
    <row r="167" spans="3:13" s="112" customFormat="1" ht="12.75">
      <c r="C167" s="181"/>
      <c r="D167" s="205"/>
      <c r="E167" s="206"/>
      <c r="F167" s="205"/>
      <c r="G167" s="205"/>
      <c r="I167" s="205"/>
      <c r="K167" s="205"/>
      <c r="M167" s="205"/>
    </row>
    <row r="168" spans="3:13" s="112" customFormat="1" ht="12.75">
      <c r="C168" s="181"/>
      <c r="D168" s="205"/>
      <c r="E168" s="206"/>
      <c r="F168" s="205"/>
      <c r="G168" s="205"/>
      <c r="I168" s="205"/>
      <c r="K168" s="205"/>
      <c r="M168" s="205"/>
    </row>
    <row r="169" spans="3:13" s="112" customFormat="1" ht="12.75">
      <c r="C169" s="181"/>
      <c r="D169" s="205"/>
      <c r="E169" s="206"/>
      <c r="F169" s="205"/>
      <c r="G169" s="205"/>
      <c r="I169" s="205"/>
      <c r="K169" s="205"/>
      <c r="M169" s="205"/>
    </row>
    <row r="170" spans="3:13" s="112" customFormat="1" ht="12.75">
      <c r="C170" s="181"/>
      <c r="D170" s="205"/>
      <c r="E170" s="206"/>
      <c r="F170" s="205"/>
      <c r="G170" s="205"/>
      <c r="I170" s="205"/>
      <c r="K170" s="205"/>
      <c r="M170" s="205"/>
    </row>
    <row r="171" spans="3:13" s="112" customFormat="1" ht="12.75">
      <c r="C171" s="181"/>
      <c r="D171" s="205"/>
      <c r="E171" s="206"/>
      <c r="F171" s="205"/>
      <c r="G171" s="205"/>
      <c r="I171" s="205"/>
      <c r="K171" s="205"/>
      <c r="M171" s="205"/>
    </row>
    <row r="172" spans="3:13" s="112" customFormat="1" ht="12.75">
      <c r="C172" s="181"/>
      <c r="D172" s="205"/>
      <c r="E172" s="206"/>
      <c r="F172" s="205"/>
      <c r="G172" s="205"/>
      <c r="I172" s="205"/>
      <c r="K172" s="205"/>
      <c r="M172" s="205"/>
    </row>
    <row r="173" spans="3:13" s="112" customFormat="1" ht="12.75">
      <c r="C173" s="181"/>
      <c r="D173" s="205"/>
      <c r="E173" s="206"/>
      <c r="F173" s="205"/>
      <c r="G173" s="205"/>
      <c r="I173" s="205"/>
      <c r="K173" s="205"/>
      <c r="M173" s="205"/>
    </row>
    <row r="174" spans="3:13" s="112" customFormat="1" ht="12.75">
      <c r="C174" s="181"/>
      <c r="D174" s="205"/>
      <c r="E174" s="206"/>
      <c r="F174" s="205"/>
      <c r="G174" s="205"/>
      <c r="I174" s="205"/>
      <c r="K174" s="205"/>
      <c r="M174" s="205"/>
    </row>
    <row r="175" spans="3:13" s="112" customFormat="1" ht="12.75">
      <c r="C175" s="181"/>
      <c r="D175" s="205"/>
      <c r="E175" s="206"/>
      <c r="F175" s="205"/>
      <c r="G175" s="205"/>
      <c r="I175" s="205"/>
      <c r="K175" s="205"/>
      <c r="M175" s="205"/>
    </row>
    <row r="176" spans="3:13" s="112" customFormat="1" ht="12.75">
      <c r="C176" s="181"/>
      <c r="D176" s="205"/>
      <c r="E176" s="206"/>
      <c r="F176" s="205"/>
      <c r="G176" s="205"/>
      <c r="I176" s="205"/>
      <c r="K176" s="205"/>
      <c r="M176" s="205"/>
    </row>
    <row r="177" spans="3:13" s="112" customFormat="1" ht="12.75">
      <c r="C177" s="181"/>
      <c r="D177" s="205"/>
      <c r="E177" s="206"/>
      <c r="F177" s="205"/>
      <c r="G177" s="205"/>
      <c r="I177" s="205"/>
      <c r="K177" s="205"/>
      <c r="M177" s="205"/>
    </row>
    <row r="178" spans="3:13" s="112" customFormat="1" ht="12.75">
      <c r="C178" s="181"/>
      <c r="D178" s="205"/>
      <c r="E178" s="206"/>
      <c r="F178" s="205"/>
      <c r="G178" s="205"/>
      <c r="I178" s="205"/>
      <c r="K178" s="205"/>
      <c r="M178" s="205"/>
    </row>
    <row r="179" spans="3:13" s="112" customFormat="1" ht="12.75">
      <c r="C179" s="181"/>
      <c r="D179" s="205"/>
      <c r="E179" s="206"/>
      <c r="F179" s="205"/>
      <c r="G179" s="205"/>
      <c r="I179" s="205"/>
      <c r="K179" s="205"/>
      <c r="M179" s="205"/>
    </row>
    <row r="180" spans="3:13" s="112" customFormat="1" ht="12.75">
      <c r="C180" s="181"/>
      <c r="D180" s="205"/>
      <c r="E180" s="206"/>
      <c r="F180" s="205"/>
      <c r="G180" s="205"/>
      <c r="I180" s="205"/>
      <c r="K180" s="205"/>
      <c r="M180" s="205"/>
    </row>
    <row r="181" spans="3:13" s="112" customFormat="1" ht="12.75">
      <c r="C181" s="181"/>
      <c r="D181" s="205"/>
      <c r="E181" s="206"/>
      <c r="F181" s="205"/>
      <c r="G181" s="205"/>
      <c r="I181" s="205"/>
      <c r="K181" s="205"/>
      <c r="M181" s="205"/>
    </row>
    <row r="182" spans="3:13" s="112" customFormat="1" ht="12.75">
      <c r="C182" s="181"/>
      <c r="D182" s="205"/>
      <c r="E182" s="206"/>
      <c r="F182" s="205"/>
      <c r="G182" s="205"/>
      <c r="I182" s="205"/>
      <c r="K182" s="205"/>
      <c r="M182" s="205"/>
    </row>
    <row r="183" spans="3:13" s="112" customFormat="1" ht="12.75">
      <c r="C183" s="181"/>
      <c r="D183" s="205"/>
      <c r="E183" s="206"/>
      <c r="F183" s="205"/>
      <c r="G183" s="205"/>
      <c r="I183" s="205"/>
      <c r="K183" s="205"/>
      <c r="M183" s="205"/>
    </row>
    <row r="184" spans="3:13" s="112" customFormat="1" ht="12.75">
      <c r="C184" s="181"/>
      <c r="D184" s="205"/>
      <c r="E184" s="206"/>
      <c r="F184" s="205"/>
      <c r="G184" s="205"/>
      <c r="I184" s="205"/>
      <c r="K184" s="205"/>
      <c r="M184" s="205"/>
    </row>
    <row r="185" spans="3:13" s="112" customFormat="1" ht="12.75">
      <c r="C185" s="181"/>
      <c r="D185" s="205"/>
      <c r="E185" s="206"/>
      <c r="F185" s="205"/>
      <c r="G185" s="205"/>
      <c r="I185" s="205"/>
      <c r="K185" s="205"/>
      <c r="M185" s="205"/>
    </row>
    <row r="186" spans="3:13" s="112" customFormat="1" ht="12.75">
      <c r="C186" s="181"/>
      <c r="D186" s="205"/>
      <c r="E186" s="206"/>
      <c r="F186" s="205"/>
      <c r="G186" s="205"/>
      <c r="I186" s="205"/>
      <c r="K186" s="205"/>
      <c r="M186" s="205"/>
    </row>
    <row r="187" spans="3:13" s="112" customFormat="1" ht="12.75">
      <c r="C187" s="181"/>
      <c r="D187" s="205"/>
      <c r="E187" s="206"/>
      <c r="F187" s="205"/>
      <c r="G187" s="205"/>
      <c r="I187" s="205"/>
      <c r="K187" s="205"/>
      <c r="M187" s="205"/>
    </row>
    <row r="188" spans="3:13" s="112" customFormat="1" ht="12.75">
      <c r="C188" s="181"/>
      <c r="D188" s="205"/>
      <c r="E188" s="206"/>
      <c r="F188" s="205"/>
      <c r="G188" s="205"/>
      <c r="I188" s="205"/>
      <c r="K188" s="205"/>
      <c r="M188" s="205"/>
    </row>
    <row r="189" spans="3:13" s="112" customFormat="1" ht="12.75">
      <c r="C189" s="181"/>
      <c r="D189" s="205"/>
      <c r="E189" s="206"/>
      <c r="F189" s="205"/>
      <c r="G189" s="205"/>
      <c r="I189" s="205"/>
      <c r="K189" s="205"/>
      <c r="M189" s="205"/>
    </row>
    <row r="190" spans="3:13" s="112" customFormat="1" ht="12.75">
      <c r="C190" s="181"/>
      <c r="D190" s="205"/>
      <c r="E190" s="206"/>
      <c r="F190" s="205"/>
      <c r="G190" s="205"/>
      <c r="I190" s="205"/>
      <c r="K190" s="205"/>
      <c r="M190" s="205"/>
    </row>
    <row r="191" spans="3:13" s="112" customFormat="1" ht="12.75">
      <c r="C191" s="181"/>
      <c r="D191" s="205"/>
      <c r="E191" s="206"/>
      <c r="F191" s="205"/>
      <c r="G191" s="205"/>
      <c r="I191" s="205"/>
      <c r="K191" s="205"/>
      <c r="M191" s="205"/>
    </row>
    <row r="192" spans="3:13" s="112" customFormat="1" ht="12.75">
      <c r="C192" s="181"/>
      <c r="D192" s="205"/>
      <c r="E192" s="206"/>
      <c r="F192" s="205"/>
      <c r="G192" s="205"/>
      <c r="I192" s="205"/>
      <c r="K192" s="205"/>
      <c r="M192" s="205"/>
    </row>
    <row r="193" spans="3:13" s="112" customFormat="1" ht="12.75">
      <c r="C193" s="181"/>
      <c r="D193" s="205"/>
      <c r="E193" s="206"/>
      <c r="F193" s="205"/>
      <c r="G193" s="205"/>
      <c r="I193" s="205"/>
      <c r="K193" s="205"/>
      <c r="M193" s="205"/>
    </row>
    <row r="194" spans="3:13" s="112" customFormat="1" ht="12.75">
      <c r="C194" s="181"/>
      <c r="D194" s="205"/>
      <c r="E194" s="206"/>
      <c r="F194" s="205"/>
      <c r="G194" s="205"/>
      <c r="I194" s="205"/>
      <c r="K194" s="205"/>
      <c r="M194" s="205"/>
    </row>
    <row r="195" spans="3:13" s="112" customFormat="1" ht="12.75">
      <c r="C195" s="181"/>
      <c r="D195" s="205"/>
      <c r="E195" s="206"/>
      <c r="F195" s="205"/>
      <c r="G195" s="205"/>
      <c r="I195" s="205"/>
      <c r="K195" s="205"/>
      <c r="M195" s="205"/>
    </row>
    <row r="196" spans="3:13" s="112" customFormat="1" ht="12.75">
      <c r="C196" s="181"/>
      <c r="D196" s="205"/>
      <c r="E196" s="206"/>
      <c r="F196" s="205"/>
      <c r="G196" s="205"/>
      <c r="I196" s="205"/>
      <c r="K196" s="205"/>
      <c r="M196" s="205"/>
    </row>
    <row r="197" spans="3:13" s="112" customFormat="1" ht="12.75">
      <c r="C197" s="181"/>
      <c r="D197" s="205"/>
      <c r="E197" s="206"/>
      <c r="F197" s="205"/>
      <c r="G197" s="205"/>
      <c r="I197" s="205"/>
      <c r="K197" s="205"/>
      <c r="M197" s="205"/>
    </row>
    <row r="198" spans="3:13" s="112" customFormat="1" ht="12.75">
      <c r="C198" s="181"/>
      <c r="D198" s="205"/>
      <c r="E198" s="206"/>
      <c r="F198" s="205"/>
      <c r="G198" s="205"/>
      <c r="I198" s="205"/>
      <c r="K198" s="205"/>
      <c r="M198" s="205"/>
    </row>
    <row r="199" spans="3:13" s="112" customFormat="1" ht="12.75">
      <c r="C199" s="181"/>
      <c r="D199" s="205"/>
      <c r="E199" s="206"/>
      <c r="F199" s="205"/>
      <c r="G199" s="205"/>
      <c r="I199" s="205"/>
      <c r="K199" s="205"/>
      <c r="M199" s="205"/>
    </row>
    <row r="200" spans="3:13" s="112" customFormat="1" ht="12.75">
      <c r="C200" s="181"/>
      <c r="D200" s="205"/>
      <c r="E200" s="206"/>
      <c r="F200" s="205"/>
      <c r="G200" s="205"/>
      <c r="I200" s="205"/>
      <c r="K200" s="205"/>
      <c r="M200" s="205"/>
    </row>
    <row r="201" spans="3:13" s="112" customFormat="1" ht="12.75">
      <c r="C201" s="181"/>
      <c r="D201" s="205"/>
      <c r="E201" s="206"/>
      <c r="F201" s="205"/>
      <c r="G201" s="205"/>
      <c r="I201" s="205"/>
      <c r="K201" s="205"/>
      <c r="M201" s="205"/>
    </row>
    <row r="202" spans="3:13" s="112" customFormat="1" ht="12.75">
      <c r="C202" s="181"/>
      <c r="D202" s="205"/>
      <c r="E202" s="206"/>
      <c r="F202" s="205"/>
      <c r="G202" s="205"/>
      <c r="I202" s="205"/>
      <c r="K202" s="205"/>
      <c r="M202" s="205"/>
    </row>
    <row r="203" spans="3:13" s="112" customFormat="1" ht="12.75">
      <c r="C203" s="181"/>
      <c r="D203" s="205"/>
      <c r="E203" s="206"/>
      <c r="F203" s="205"/>
      <c r="G203" s="205"/>
      <c r="I203" s="205"/>
      <c r="K203" s="205"/>
      <c r="M203" s="205"/>
    </row>
    <row r="204" spans="3:13" s="112" customFormat="1" ht="12.75">
      <c r="C204" s="181"/>
      <c r="D204" s="205"/>
      <c r="E204" s="206"/>
      <c r="F204" s="205"/>
      <c r="G204" s="205"/>
      <c r="I204" s="205"/>
      <c r="K204" s="205"/>
      <c r="M204" s="205"/>
    </row>
    <row r="205" spans="3:13" s="112" customFormat="1" ht="12.75">
      <c r="C205" s="181"/>
      <c r="D205" s="205"/>
      <c r="E205" s="206"/>
      <c r="F205" s="205"/>
      <c r="G205" s="205"/>
      <c r="I205" s="205"/>
      <c r="K205" s="205"/>
      <c r="M205" s="205"/>
    </row>
    <row r="206" spans="3:13" s="112" customFormat="1" ht="12.75">
      <c r="C206" s="181"/>
      <c r="D206" s="205"/>
      <c r="E206" s="206"/>
      <c r="F206" s="205"/>
      <c r="G206" s="205"/>
      <c r="I206" s="205"/>
      <c r="K206" s="205"/>
      <c r="M206" s="205"/>
    </row>
    <row r="207" spans="3:13" s="112" customFormat="1" ht="12.75">
      <c r="C207" s="181"/>
      <c r="D207" s="205"/>
      <c r="E207" s="206"/>
      <c r="F207" s="205"/>
      <c r="G207" s="205"/>
      <c r="I207" s="205"/>
      <c r="K207" s="205"/>
      <c r="M207" s="205"/>
    </row>
    <row r="208" spans="3:13" s="112" customFormat="1" ht="12.75">
      <c r="C208" s="181"/>
      <c r="D208" s="205"/>
      <c r="E208" s="206"/>
      <c r="F208" s="205"/>
      <c r="G208" s="205"/>
      <c r="I208" s="205"/>
      <c r="K208" s="205"/>
      <c r="M208" s="205"/>
    </row>
    <row r="209" spans="3:13" s="112" customFormat="1" ht="12.75">
      <c r="C209" s="181"/>
      <c r="D209" s="205"/>
      <c r="E209" s="206"/>
      <c r="F209" s="205"/>
      <c r="G209" s="205"/>
      <c r="I209" s="205"/>
      <c r="K209" s="205"/>
      <c r="M209" s="205"/>
    </row>
    <row r="210" spans="3:13" s="112" customFormat="1" ht="12.75">
      <c r="C210" s="181"/>
      <c r="D210" s="205"/>
      <c r="E210" s="206"/>
      <c r="F210" s="205"/>
      <c r="G210" s="205"/>
      <c r="I210" s="205"/>
      <c r="K210" s="205"/>
      <c r="M210" s="205"/>
    </row>
    <row r="211" spans="3:13" s="112" customFormat="1" ht="12.75">
      <c r="C211" s="181"/>
      <c r="D211" s="205"/>
      <c r="E211" s="206"/>
      <c r="F211" s="205"/>
      <c r="G211" s="205"/>
      <c r="I211" s="205"/>
      <c r="K211" s="205"/>
      <c r="M211" s="205"/>
    </row>
    <row r="212" spans="3:13" s="112" customFormat="1" ht="12.75">
      <c r="C212" s="181"/>
      <c r="D212" s="205"/>
      <c r="E212" s="206"/>
      <c r="F212" s="205"/>
      <c r="G212" s="205"/>
      <c r="I212" s="205"/>
      <c r="K212" s="205"/>
      <c r="M212" s="205"/>
    </row>
    <row r="213" spans="3:13" s="112" customFormat="1" ht="12.75">
      <c r="C213" s="181"/>
      <c r="D213" s="205"/>
      <c r="E213" s="206"/>
      <c r="F213" s="205"/>
      <c r="G213" s="205"/>
      <c r="I213" s="205"/>
      <c r="K213" s="205"/>
      <c r="M213" s="205"/>
    </row>
    <row r="214" spans="3:13" s="112" customFormat="1" ht="12.75">
      <c r="C214" s="181"/>
      <c r="D214" s="205"/>
      <c r="E214" s="206"/>
      <c r="F214" s="205"/>
      <c r="G214" s="205"/>
      <c r="I214" s="205"/>
      <c r="K214" s="205"/>
      <c r="M214" s="205"/>
    </row>
    <row r="215" spans="3:13" s="112" customFormat="1" ht="12.75">
      <c r="C215" s="181"/>
      <c r="D215" s="205"/>
      <c r="E215" s="206"/>
      <c r="F215" s="205"/>
      <c r="G215" s="205"/>
      <c r="I215" s="205"/>
      <c r="K215" s="205"/>
      <c r="M215" s="205"/>
    </row>
    <row r="216" spans="3:13" s="112" customFormat="1" ht="12.75">
      <c r="C216" s="181"/>
      <c r="D216" s="205"/>
      <c r="E216" s="206"/>
      <c r="F216" s="205"/>
      <c r="G216" s="205"/>
      <c r="I216" s="205"/>
      <c r="K216" s="205"/>
      <c r="M216" s="205"/>
    </row>
    <row r="217" spans="3:13" s="112" customFormat="1" ht="12.75">
      <c r="C217" s="181"/>
      <c r="D217" s="205"/>
      <c r="E217" s="206"/>
      <c r="F217" s="205"/>
      <c r="G217" s="205"/>
      <c r="I217" s="205"/>
      <c r="K217" s="205"/>
      <c r="M217" s="205"/>
    </row>
    <row r="218" spans="3:13" s="112" customFormat="1" ht="12.75">
      <c r="C218" s="181"/>
      <c r="D218" s="205"/>
      <c r="E218" s="206"/>
      <c r="F218" s="205"/>
      <c r="G218" s="205"/>
      <c r="I218" s="205"/>
      <c r="K218" s="205"/>
      <c r="M218" s="205"/>
    </row>
    <row r="219" spans="3:13" s="112" customFormat="1" ht="12.75">
      <c r="C219" s="181"/>
      <c r="D219" s="205"/>
      <c r="E219" s="206"/>
      <c r="F219" s="205"/>
      <c r="G219" s="205"/>
      <c r="I219" s="205"/>
      <c r="K219" s="205"/>
      <c r="M219" s="205"/>
    </row>
    <row r="220" spans="3:13" s="112" customFormat="1" ht="12.75">
      <c r="C220" s="181"/>
      <c r="D220" s="205"/>
      <c r="E220" s="206"/>
      <c r="F220" s="205"/>
      <c r="G220" s="205"/>
      <c r="I220" s="205"/>
      <c r="K220" s="205"/>
      <c r="M220" s="205"/>
    </row>
    <row r="221" spans="3:13" s="112" customFormat="1" ht="12.75">
      <c r="C221" s="181"/>
      <c r="D221" s="205"/>
      <c r="E221" s="206"/>
      <c r="F221" s="205"/>
      <c r="G221" s="205"/>
      <c r="I221" s="205"/>
      <c r="K221" s="205"/>
      <c r="M221" s="205"/>
    </row>
    <row r="222" spans="3:13" s="112" customFormat="1" ht="12.75">
      <c r="C222" s="181"/>
      <c r="D222" s="205"/>
      <c r="E222" s="206"/>
      <c r="F222" s="205"/>
      <c r="G222" s="205"/>
      <c r="I222" s="205"/>
      <c r="K222" s="205"/>
      <c r="M222" s="205"/>
    </row>
    <row r="223" spans="3:13" s="112" customFormat="1" ht="12.75">
      <c r="C223" s="181"/>
      <c r="D223" s="205"/>
      <c r="E223" s="206"/>
      <c r="F223" s="205"/>
      <c r="G223" s="205"/>
      <c r="I223" s="205"/>
      <c r="K223" s="205"/>
      <c r="M223" s="205"/>
    </row>
    <row r="224" spans="3:13" s="112" customFormat="1" ht="12.75">
      <c r="C224" s="181"/>
      <c r="D224" s="205"/>
      <c r="E224" s="206"/>
      <c r="F224" s="205"/>
      <c r="G224" s="205"/>
      <c r="I224" s="205"/>
      <c r="K224" s="205"/>
      <c r="M224" s="205"/>
    </row>
    <row r="225" spans="3:13" s="112" customFormat="1" ht="12.75">
      <c r="C225" s="181"/>
      <c r="D225" s="205"/>
      <c r="E225" s="206"/>
      <c r="F225" s="205"/>
      <c r="G225" s="205"/>
      <c r="I225" s="205"/>
      <c r="K225" s="205"/>
      <c r="M225" s="205"/>
    </row>
    <row r="226" spans="3:13" s="112" customFormat="1" ht="12.75">
      <c r="C226" s="181"/>
      <c r="D226" s="205"/>
      <c r="E226" s="206"/>
      <c r="F226" s="205"/>
      <c r="G226" s="205"/>
      <c r="I226" s="205"/>
      <c r="K226" s="205"/>
      <c r="M226" s="205"/>
    </row>
    <row r="227" spans="3:13" s="112" customFormat="1" ht="12.75">
      <c r="C227" s="181"/>
      <c r="D227" s="205"/>
      <c r="E227" s="206"/>
      <c r="F227" s="205"/>
      <c r="G227" s="205"/>
      <c r="I227" s="205"/>
      <c r="K227" s="205"/>
      <c r="M227" s="205"/>
    </row>
    <row r="228" spans="3:13" s="112" customFormat="1" ht="12.75">
      <c r="C228" s="181"/>
      <c r="D228" s="205"/>
      <c r="E228" s="206"/>
      <c r="F228" s="205"/>
      <c r="G228" s="205"/>
      <c r="I228" s="205"/>
      <c r="K228" s="205"/>
      <c r="M228" s="205"/>
    </row>
    <row r="229" spans="3:13" s="112" customFormat="1" ht="12.75">
      <c r="C229" s="181"/>
      <c r="D229" s="205"/>
      <c r="E229" s="206"/>
      <c r="F229" s="205"/>
      <c r="G229" s="205"/>
      <c r="I229" s="205"/>
      <c r="K229" s="205"/>
      <c r="M229" s="205"/>
    </row>
    <row r="230" spans="3:13" s="112" customFormat="1" ht="12.75">
      <c r="C230" s="181"/>
      <c r="D230" s="205"/>
      <c r="E230" s="206"/>
      <c r="F230" s="205"/>
      <c r="G230" s="205"/>
      <c r="I230" s="205"/>
      <c r="K230" s="205"/>
      <c r="M230" s="205"/>
    </row>
    <row r="231" spans="3:13" s="112" customFormat="1" ht="12.75">
      <c r="C231" s="181"/>
      <c r="D231" s="205"/>
      <c r="E231" s="206"/>
      <c r="F231" s="205"/>
      <c r="G231" s="205"/>
      <c r="I231" s="205"/>
      <c r="K231" s="205"/>
      <c r="M231" s="205"/>
    </row>
    <row r="232" spans="3:13" s="112" customFormat="1" ht="12.75">
      <c r="C232" s="181"/>
      <c r="D232" s="205"/>
      <c r="E232" s="206"/>
      <c r="F232" s="205"/>
      <c r="G232" s="205"/>
      <c r="I232" s="205"/>
      <c r="K232" s="205"/>
      <c r="M232" s="205"/>
    </row>
    <row r="233" spans="3:13" s="112" customFormat="1" ht="12.75">
      <c r="C233" s="181"/>
      <c r="D233" s="205"/>
      <c r="E233" s="206"/>
      <c r="F233" s="205"/>
      <c r="G233" s="205"/>
      <c r="I233" s="205"/>
      <c r="K233" s="205"/>
      <c r="M233" s="205"/>
    </row>
    <row r="234" spans="3:13" s="112" customFormat="1" ht="12.75">
      <c r="C234" s="181"/>
      <c r="D234" s="205"/>
      <c r="E234" s="206"/>
      <c r="F234" s="205"/>
      <c r="G234" s="205"/>
      <c r="I234" s="205"/>
      <c r="K234" s="205"/>
      <c r="M234" s="205"/>
    </row>
    <row r="235" spans="3:13" s="112" customFormat="1" ht="12.75">
      <c r="C235" s="181"/>
      <c r="D235" s="205"/>
      <c r="E235" s="206"/>
      <c r="F235" s="205"/>
      <c r="G235" s="205"/>
      <c r="I235" s="205"/>
      <c r="K235" s="205"/>
      <c r="M235" s="205"/>
    </row>
    <row r="236" spans="3:13" s="112" customFormat="1" ht="12.75">
      <c r="C236" s="181"/>
      <c r="D236" s="205"/>
      <c r="E236" s="206"/>
      <c r="F236" s="205"/>
      <c r="G236" s="205"/>
      <c r="I236" s="205"/>
      <c r="K236" s="205"/>
      <c r="M236" s="205"/>
    </row>
    <row r="237" spans="3:13" s="112" customFormat="1" ht="12.75">
      <c r="C237" s="181"/>
      <c r="D237" s="205"/>
      <c r="E237" s="206"/>
      <c r="F237" s="205"/>
      <c r="G237" s="205"/>
      <c r="I237" s="205"/>
      <c r="K237" s="205"/>
      <c r="M237" s="205"/>
    </row>
    <row r="238" spans="3:13" s="112" customFormat="1" ht="12.75">
      <c r="C238" s="181"/>
      <c r="D238" s="205"/>
      <c r="E238" s="206"/>
      <c r="F238" s="205"/>
      <c r="G238" s="205"/>
      <c r="I238" s="205"/>
      <c r="K238" s="205"/>
      <c r="M238" s="205"/>
    </row>
    <row r="239" spans="3:13" s="112" customFormat="1" ht="12.75">
      <c r="C239" s="181"/>
      <c r="D239" s="205"/>
      <c r="E239" s="206"/>
      <c r="F239" s="205"/>
      <c r="G239" s="205"/>
      <c r="I239" s="205"/>
      <c r="K239" s="205"/>
      <c r="M239" s="205"/>
    </row>
    <row r="240" spans="3:13" s="112" customFormat="1" ht="12.75">
      <c r="C240" s="181"/>
      <c r="D240" s="205"/>
      <c r="E240" s="206"/>
      <c r="F240" s="205"/>
      <c r="G240" s="205"/>
      <c r="I240" s="205"/>
      <c r="K240" s="205"/>
      <c r="M240" s="205"/>
    </row>
    <row r="241" spans="3:13" s="112" customFormat="1" ht="12.75">
      <c r="C241" s="181"/>
      <c r="D241" s="205"/>
      <c r="E241" s="206"/>
      <c r="F241" s="205"/>
      <c r="G241" s="205"/>
      <c r="I241" s="205"/>
      <c r="K241" s="205"/>
      <c r="M241" s="205"/>
    </row>
    <row r="242" spans="3:13" s="112" customFormat="1" ht="12.75">
      <c r="C242" s="181"/>
      <c r="D242" s="205"/>
      <c r="E242" s="206"/>
      <c r="F242" s="205"/>
      <c r="G242" s="205"/>
      <c r="I242" s="205"/>
      <c r="K242" s="205"/>
      <c r="M242" s="205"/>
    </row>
    <row r="243" spans="3:13" s="112" customFormat="1" ht="12.75">
      <c r="C243" s="181"/>
      <c r="D243" s="205"/>
      <c r="E243" s="206"/>
      <c r="F243" s="205"/>
      <c r="G243" s="205"/>
      <c r="I243" s="205"/>
      <c r="K243" s="205"/>
      <c r="M243" s="205"/>
    </row>
    <row r="244" spans="3:13" s="112" customFormat="1" ht="12.75">
      <c r="C244" s="181"/>
      <c r="D244" s="205"/>
      <c r="E244" s="206"/>
      <c r="F244" s="205"/>
      <c r="G244" s="205"/>
      <c r="I244" s="205"/>
      <c r="K244" s="205"/>
      <c r="M244" s="205"/>
    </row>
    <row r="245" spans="3:13" s="112" customFormat="1" ht="12.75">
      <c r="C245" s="181"/>
      <c r="D245" s="205"/>
      <c r="E245" s="206"/>
      <c r="F245" s="205"/>
      <c r="G245" s="205"/>
      <c r="I245" s="205"/>
      <c r="K245" s="205"/>
      <c r="M245" s="205"/>
    </row>
    <row r="246" spans="3:13" s="112" customFormat="1" ht="12.75">
      <c r="C246" s="181"/>
      <c r="D246" s="205"/>
      <c r="E246" s="206"/>
      <c r="F246" s="205"/>
      <c r="G246" s="205"/>
      <c r="I246" s="205"/>
      <c r="K246" s="205"/>
      <c r="M246" s="205"/>
    </row>
    <row r="247" spans="3:13" s="112" customFormat="1" ht="12.75">
      <c r="C247" s="181"/>
      <c r="D247" s="205"/>
      <c r="E247" s="206"/>
      <c r="F247" s="205"/>
      <c r="G247" s="205"/>
      <c r="I247" s="205"/>
      <c r="K247" s="205"/>
      <c r="M247" s="205"/>
    </row>
    <row r="248" spans="3:13" s="112" customFormat="1" ht="12.75">
      <c r="C248" s="181"/>
      <c r="D248" s="205"/>
      <c r="E248" s="206"/>
      <c r="F248" s="205"/>
      <c r="G248" s="205"/>
      <c r="I248" s="205"/>
      <c r="K248" s="205"/>
      <c r="M248" s="205"/>
    </row>
    <row r="249" spans="3:13" s="112" customFormat="1" ht="12.75">
      <c r="C249" s="181"/>
      <c r="D249" s="205"/>
      <c r="E249" s="206"/>
      <c r="F249" s="205"/>
      <c r="G249" s="205"/>
      <c r="I249" s="205"/>
      <c r="K249" s="205"/>
      <c r="M249" s="205"/>
    </row>
    <row r="250" spans="3:13" s="112" customFormat="1" ht="12.75">
      <c r="C250" s="181"/>
      <c r="D250" s="205"/>
      <c r="E250" s="206"/>
      <c r="F250" s="205"/>
      <c r="G250" s="205"/>
      <c r="I250" s="205"/>
      <c r="K250" s="205"/>
      <c r="M250" s="205"/>
    </row>
    <row r="251" spans="3:13" s="112" customFormat="1" ht="12.75">
      <c r="C251" s="181"/>
      <c r="D251" s="205"/>
      <c r="E251" s="206"/>
      <c r="F251" s="205"/>
      <c r="G251" s="205"/>
      <c r="I251" s="205"/>
      <c r="K251" s="205"/>
      <c r="M251" s="205"/>
    </row>
    <row r="252" spans="3:13" s="112" customFormat="1" ht="12.75">
      <c r="C252" s="181"/>
      <c r="D252" s="205"/>
      <c r="E252" s="206"/>
      <c r="F252" s="205"/>
      <c r="G252" s="205"/>
      <c r="I252" s="205"/>
      <c r="K252" s="205"/>
      <c r="M252" s="205"/>
    </row>
    <row r="253" spans="3:13" s="112" customFormat="1" ht="12.75">
      <c r="C253" s="181"/>
      <c r="D253" s="205"/>
      <c r="E253" s="206"/>
      <c r="F253" s="205"/>
      <c r="G253" s="205"/>
      <c r="I253" s="205"/>
      <c r="K253" s="205"/>
      <c r="M253" s="205"/>
    </row>
    <row r="254" spans="3:13" s="112" customFormat="1" ht="12.75">
      <c r="C254" s="181"/>
      <c r="D254" s="205"/>
      <c r="E254" s="206"/>
      <c r="F254" s="205"/>
      <c r="G254" s="205"/>
      <c r="I254" s="205"/>
      <c r="K254" s="205"/>
      <c r="M254" s="205"/>
    </row>
    <row r="255" spans="3:13" s="112" customFormat="1" ht="12.75">
      <c r="C255" s="181"/>
      <c r="D255" s="205"/>
      <c r="E255" s="206"/>
      <c r="F255" s="205"/>
      <c r="G255" s="205"/>
      <c r="I255" s="205"/>
      <c r="K255" s="205"/>
      <c r="M255" s="205"/>
    </row>
    <row r="256" spans="3:13" s="112" customFormat="1" ht="12.75">
      <c r="C256" s="181"/>
      <c r="D256" s="205"/>
      <c r="E256" s="206"/>
      <c r="F256" s="205"/>
      <c r="G256" s="205"/>
      <c r="I256" s="205"/>
      <c r="K256" s="205"/>
      <c r="M256" s="205"/>
    </row>
    <row r="257" spans="3:13" s="112" customFormat="1" ht="12.75">
      <c r="C257" s="181"/>
      <c r="D257" s="205"/>
      <c r="E257" s="206"/>
      <c r="F257" s="205"/>
      <c r="G257" s="205"/>
      <c r="I257" s="205"/>
      <c r="K257" s="205"/>
      <c r="M257" s="205"/>
    </row>
    <row r="258" spans="3:13" s="112" customFormat="1" ht="12.75">
      <c r="C258" s="181"/>
      <c r="D258" s="205"/>
      <c r="E258" s="206"/>
      <c r="F258" s="205"/>
      <c r="G258" s="205"/>
      <c r="I258" s="205"/>
      <c r="K258" s="205"/>
      <c r="M258" s="205"/>
    </row>
    <row r="259" spans="3:13" s="112" customFormat="1" ht="12.75">
      <c r="C259" s="181"/>
      <c r="D259" s="205"/>
      <c r="E259" s="206"/>
      <c r="F259" s="205"/>
      <c r="G259" s="205"/>
      <c r="I259" s="205"/>
      <c r="K259" s="205"/>
      <c r="M259" s="205"/>
    </row>
    <row r="260" spans="3:13" s="112" customFormat="1" ht="12.75">
      <c r="C260" s="181"/>
      <c r="D260" s="205"/>
      <c r="E260" s="206"/>
      <c r="F260" s="205"/>
      <c r="G260" s="205"/>
      <c r="I260" s="205"/>
      <c r="K260" s="205"/>
      <c r="M260" s="205"/>
    </row>
    <row r="261" spans="3:13" s="112" customFormat="1" ht="12.75">
      <c r="C261" s="181"/>
      <c r="D261" s="205"/>
      <c r="E261" s="206"/>
      <c r="F261" s="205"/>
      <c r="G261" s="205"/>
      <c r="I261" s="205"/>
      <c r="K261" s="205"/>
      <c r="M261" s="205"/>
    </row>
    <row r="262" spans="3:13" s="112" customFormat="1" ht="12.75">
      <c r="C262" s="181"/>
      <c r="D262" s="205"/>
      <c r="E262" s="206"/>
      <c r="F262" s="205"/>
      <c r="G262" s="205"/>
      <c r="I262" s="205"/>
      <c r="K262" s="205"/>
      <c r="M262" s="205"/>
    </row>
    <row r="263" spans="3:13" s="112" customFormat="1" ht="12.75">
      <c r="C263" s="181"/>
      <c r="D263" s="205"/>
      <c r="E263" s="206"/>
      <c r="F263" s="205"/>
      <c r="G263" s="205"/>
      <c r="I263" s="205"/>
      <c r="K263" s="205"/>
      <c r="M263" s="205"/>
    </row>
    <row r="264" spans="3:13" s="112" customFormat="1" ht="12.75">
      <c r="C264" s="181"/>
      <c r="D264" s="205"/>
      <c r="E264" s="206"/>
      <c r="F264" s="205"/>
      <c r="G264" s="205"/>
      <c r="I264" s="205"/>
      <c r="K264" s="205"/>
      <c r="M264" s="205"/>
    </row>
    <row r="265" spans="3:13" s="112" customFormat="1" ht="12.75">
      <c r="C265" s="181"/>
      <c r="D265" s="205"/>
      <c r="E265" s="206"/>
      <c r="F265" s="205"/>
      <c r="G265" s="205"/>
      <c r="I265" s="205"/>
      <c r="K265" s="205"/>
      <c r="M265" s="205"/>
    </row>
    <row r="266" spans="3:13" s="112" customFormat="1" ht="12.75">
      <c r="C266" s="181"/>
      <c r="D266" s="205"/>
      <c r="E266" s="206"/>
      <c r="F266" s="205"/>
      <c r="G266" s="205"/>
      <c r="I266" s="205"/>
      <c r="K266" s="205"/>
      <c r="M266" s="205"/>
    </row>
    <row r="267" spans="3:13" s="112" customFormat="1" ht="12.75">
      <c r="C267" s="181"/>
      <c r="D267" s="205"/>
      <c r="E267" s="206"/>
      <c r="F267" s="205"/>
      <c r="G267" s="205"/>
      <c r="I267" s="205"/>
      <c r="K267" s="205"/>
      <c r="M267" s="205"/>
    </row>
    <row r="268" spans="3:13" s="112" customFormat="1" ht="12.75">
      <c r="C268" s="181"/>
      <c r="D268" s="205"/>
      <c r="E268" s="206"/>
      <c r="F268" s="205"/>
      <c r="G268" s="205"/>
      <c r="I268" s="205"/>
      <c r="K268" s="205"/>
      <c r="M268" s="205"/>
    </row>
    <row r="269" spans="3:13" s="112" customFormat="1" ht="12.75">
      <c r="C269" s="181"/>
      <c r="D269" s="205"/>
      <c r="E269" s="206"/>
      <c r="F269" s="205"/>
      <c r="G269" s="205"/>
      <c r="I269" s="205"/>
      <c r="K269" s="205"/>
      <c r="M269" s="205"/>
    </row>
    <row r="270" spans="3:13" s="112" customFormat="1" ht="12.75">
      <c r="C270" s="181"/>
      <c r="D270" s="205"/>
      <c r="E270" s="206"/>
      <c r="F270" s="205"/>
      <c r="G270" s="205"/>
      <c r="I270" s="205"/>
      <c r="K270" s="205"/>
      <c r="M270" s="205"/>
    </row>
    <row r="271" spans="3:13" s="112" customFormat="1" ht="12.75">
      <c r="C271" s="181"/>
      <c r="D271" s="205"/>
      <c r="E271" s="206"/>
      <c r="F271" s="205"/>
      <c r="G271" s="205"/>
      <c r="I271" s="205"/>
      <c r="K271" s="205"/>
      <c r="M271" s="205"/>
    </row>
    <row r="272" spans="3:13" s="112" customFormat="1" ht="12.75">
      <c r="C272" s="181"/>
      <c r="D272" s="205"/>
      <c r="E272" s="206"/>
      <c r="F272" s="205"/>
      <c r="G272" s="205"/>
      <c r="I272" s="205"/>
      <c r="K272" s="205"/>
      <c r="M272" s="205"/>
    </row>
    <row r="273" spans="3:13" s="112" customFormat="1" ht="12.75">
      <c r="C273" s="181"/>
      <c r="D273" s="205"/>
      <c r="E273" s="206"/>
      <c r="F273" s="205"/>
      <c r="G273" s="205"/>
      <c r="I273" s="205"/>
      <c r="K273" s="205"/>
      <c r="M273" s="205"/>
    </row>
    <row r="274" spans="3:13" s="112" customFormat="1" ht="12.75">
      <c r="C274" s="181"/>
      <c r="D274" s="205"/>
      <c r="E274" s="206"/>
      <c r="F274" s="205"/>
      <c r="G274" s="205"/>
      <c r="I274" s="205"/>
      <c r="K274" s="205"/>
      <c r="M274" s="205"/>
    </row>
    <row r="275" spans="3:13" s="112" customFormat="1" ht="12.75">
      <c r="C275" s="181"/>
      <c r="D275" s="205"/>
      <c r="E275" s="206"/>
      <c r="F275" s="205"/>
      <c r="G275" s="205"/>
      <c r="I275" s="205"/>
      <c r="K275" s="205"/>
      <c r="M275" s="205"/>
    </row>
    <row r="276" spans="3:13" s="112" customFormat="1" ht="12.75">
      <c r="C276" s="181"/>
      <c r="D276" s="205"/>
      <c r="E276" s="206"/>
      <c r="F276" s="205"/>
      <c r="G276" s="205"/>
      <c r="I276" s="205"/>
      <c r="K276" s="205"/>
      <c r="M276" s="205"/>
    </row>
    <row r="277" spans="3:13" s="112" customFormat="1" ht="12.75">
      <c r="C277" s="181"/>
      <c r="D277" s="205"/>
      <c r="E277" s="206"/>
      <c r="F277" s="205"/>
      <c r="G277" s="205"/>
      <c r="I277" s="205"/>
      <c r="K277" s="205"/>
      <c r="M277" s="205"/>
    </row>
    <row r="278" spans="3:13" s="112" customFormat="1" ht="12.75">
      <c r="C278" s="181"/>
      <c r="D278" s="205"/>
      <c r="E278" s="206"/>
      <c r="F278" s="205"/>
      <c r="G278" s="205"/>
      <c r="I278" s="205"/>
      <c r="K278" s="205"/>
      <c r="M278" s="205"/>
    </row>
    <row r="279" spans="3:13" s="112" customFormat="1" ht="12.75">
      <c r="C279" s="181"/>
      <c r="D279" s="205"/>
      <c r="E279" s="206"/>
      <c r="F279" s="205"/>
      <c r="G279" s="205"/>
      <c r="I279" s="205"/>
      <c r="K279" s="205"/>
      <c r="M279" s="205"/>
    </row>
    <row r="280" spans="3:13" s="112" customFormat="1" ht="12.75">
      <c r="C280" s="181"/>
      <c r="D280" s="205"/>
      <c r="E280" s="206"/>
      <c r="F280" s="205"/>
      <c r="G280" s="205"/>
      <c r="I280" s="205"/>
      <c r="K280" s="205"/>
      <c r="M280" s="205"/>
    </row>
    <row r="281" spans="3:13" s="112" customFormat="1" ht="12.75">
      <c r="C281" s="181"/>
      <c r="D281" s="205"/>
      <c r="E281" s="206"/>
      <c r="F281" s="205"/>
      <c r="G281" s="205"/>
      <c r="I281" s="205"/>
      <c r="K281" s="205"/>
      <c r="M281" s="205"/>
    </row>
    <row r="282" spans="3:13" s="112" customFormat="1" ht="12.75">
      <c r="C282" s="181"/>
      <c r="D282" s="205"/>
      <c r="E282" s="206"/>
      <c r="F282" s="205"/>
      <c r="G282" s="205"/>
      <c r="I282" s="205"/>
      <c r="K282" s="205"/>
      <c r="M282" s="205"/>
    </row>
    <row r="283" spans="3:13" s="112" customFormat="1" ht="12.75">
      <c r="C283" s="181"/>
      <c r="D283" s="205"/>
      <c r="E283" s="206"/>
      <c r="F283" s="205"/>
      <c r="G283" s="205"/>
      <c r="I283" s="205"/>
      <c r="K283" s="205"/>
      <c r="M283" s="205"/>
    </row>
    <row r="284" spans="3:13" s="112" customFormat="1" ht="12.75">
      <c r="C284" s="181"/>
      <c r="D284" s="205"/>
      <c r="E284" s="206"/>
      <c r="F284" s="205"/>
      <c r="G284" s="205"/>
      <c r="I284" s="205"/>
      <c r="K284" s="205"/>
      <c r="M284" s="205"/>
    </row>
    <row r="285" spans="3:13" s="112" customFormat="1" ht="12.75">
      <c r="C285" s="181"/>
      <c r="D285" s="205"/>
      <c r="E285" s="206"/>
      <c r="F285" s="205"/>
      <c r="G285" s="205"/>
      <c r="I285" s="205"/>
      <c r="K285" s="205"/>
      <c r="M285" s="205"/>
    </row>
    <row r="286" spans="3:13" s="112" customFormat="1" ht="12.75">
      <c r="C286" s="181"/>
      <c r="D286" s="205"/>
      <c r="E286" s="206"/>
      <c r="F286" s="205"/>
      <c r="G286" s="205"/>
      <c r="I286" s="205"/>
      <c r="K286" s="205"/>
      <c r="M286" s="205"/>
    </row>
    <row r="287" spans="3:13" s="112" customFormat="1" ht="12.75">
      <c r="C287" s="181"/>
      <c r="D287" s="205"/>
      <c r="E287" s="206"/>
      <c r="F287" s="205"/>
      <c r="G287" s="205"/>
      <c r="I287" s="205"/>
      <c r="K287" s="205"/>
      <c r="M287" s="205"/>
    </row>
    <row r="288" spans="3:13" s="112" customFormat="1" ht="12.75">
      <c r="C288" s="181"/>
      <c r="D288" s="205"/>
      <c r="E288" s="206"/>
      <c r="F288" s="205"/>
      <c r="G288" s="205"/>
      <c r="I288" s="205"/>
      <c r="K288" s="205"/>
      <c r="M288" s="205"/>
    </row>
    <row r="289" spans="3:13" s="112" customFormat="1" ht="12.75">
      <c r="C289" s="181"/>
      <c r="D289" s="205"/>
      <c r="E289" s="206"/>
      <c r="F289" s="205"/>
      <c r="G289" s="205"/>
      <c r="I289" s="205"/>
      <c r="K289" s="205"/>
      <c r="M289" s="205"/>
    </row>
    <row r="290" spans="3:13" s="112" customFormat="1" ht="12.75">
      <c r="C290" s="181"/>
      <c r="D290" s="205"/>
      <c r="E290" s="206"/>
      <c r="F290" s="205"/>
      <c r="G290" s="205"/>
      <c r="I290" s="205"/>
      <c r="K290" s="205"/>
      <c r="M290" s="205"/>
    </row>
    <row r="291" spans="3:13" s="112" customFormat="1" ht="12.75">
      <c r="C291" s="181"/>
      <c r="D291" s="205"/>
      <c r="E291" s="206"/>
      <c r="F291" s="205"/>
      <c r="G291" s="205"/>
      <c r="I291" s="205"/>
      <c r="K291" s="205"/>
      <c r="M291" s="205"/>
    </row>
    <row r="292" spans="3:13" s="112" customFormat="1" ht="12.75">
      <c r="C292" s="181"/>
      <c r="D292" s="205"/>
      <c r="E292" s="206"/>
      <c r="F292" s="205"/>
      <c r="G292" s="205"/>
      <c r="I292" s="205"/>
      <c r="K292" s="205"/>
      <c r="M292" s="205"/>
    </row>
    <row r="293" spans="3:13" s="112" customFormat="1" ht="12.75">
      <c r="C293" s="181"/>
      <c r="D293" s="205"/>
      <c r="E293" s="206"/>
      <c r="F293" s="205"/>
      <c r="G293" s="205"/>
      <c r="I293" s="205"/>
      <c r="K293" s="205"/>
      <c r="M293" s="205"/>
    </row>
    <row r="294" spans="3:13" s="112" customFormat="1" ht="12.75">
      <c r="C294" s="181"/>
      <c r="D294" s="205"/>
      <c r="E294" s="206"/>
      <c r="F294" s="205"/>
      <c r="G294" s="205"/>
      <c r="I294" s="205"/>
      <c r="K294" s="205"/>
      <c r="M294" s="205"/>
    </row>
    <row r="295" spans="3:13" s="112" customFormat="1" ht="12.75">
      <c r="C295" s="181"/>
      <c r="D295" s="205"/>
      <c r="E295" s="206"/>
      <c r="F295" s="205"/>
      <c r="G295" s="205"/>
      <c r="I295" s="205"/>
      <c r="K295" s="205"/>
      <c r="M295" s="205"/>
    </row>
    <row r="296" spans="3:13" s="112" customFormat="1" ht="12.75">
      <c r="C296" s="181"/>
      <c r="D296" s="205"/>
      <c r="E296" s="206"/>
      <c r="F296" s="205"/>
      <c r="G296" s="205"/>
      <c r="I296" s="205"/>
      <c r="K296" s="205"/>
      <c r="M296" s="205"/>
    </row>
    <row r="297" spans="3:13" s="112" customFormat="1" ht="12.75">
      <c r="C297" s="181"/>
      <c r="D297" s="205"/>
      <c r="E297" s="206"/>
      <c r="F297" s="205"/>
      <c r="G297" s="205"/>
      <c r="I297" s="205"/>
      <c r="K297" s="205"/>
      <c r="M297" s="205"/>
    </row>
    <row r="298" spans="3:13" s="112" customFormat="1" ht="12.75">
      <c r="C298" s="181"/>
      <c r="D298" s="205"/>
      <c r="E298" s="206"/>
      <c r="F298" s="205"/>
      <c r="G298" s="205"/>
      <c r="I298" s="205"/>
      <c r="K298" s="205"/>
      <c r="M298" s="205"/>
    </row>
    <row r="299" spans="3:13" s="112" customFormat="1" ht="12.75">
      <c r="C299" s="181"/>
      <c r="D299" s="205"/>
      <c r="E299" s="206"/>
      <c r="F299" s="205"/>
      <c r="G299" s="205"/>
      <c r="I299" s="205"/>
      <c r="K299" s="205"/>
      <c r="M299" s="205"/>
    </row>
    <row r="300" spans="3:13" s="112" customFormat="1" ht="12.75">
      <c r="C300" s="181"/>
      <c r="D300" s="205"/>
      <c r="E300" s="206"/>
      <c r="F300" s="205"/>
      <c r="G300" s="205"/>
      <c r="I300" s="205"/>
      <c r="K300" s="205"/>
      <c r="M300" s="205"/>
    </row>
    <row r="301" spans="3:13" s="112" customFormat="1" ht="12.75">
      <c r="C301" s="181"/>
      <c r="D301" s="205"/>
      <c r="E301" s="206"/>
      <c r="F301" s="205"/>
      <c r="G301" s="205"/>
      <c r="I301" s="205"/>
      <c r="K301" s="205"/>
      <c r="M301" s="205"/>
    </row>
    <row r="302" spans="3:13" s="112" customFormat="1" ht="12.75">
      <c r="C302" s="181"/>
      <c r="D302" s="205"/>
      <c r="E302" s="206"/>
      <c r="F302" s="205"/>
      <c r="G302" s="205"/>
      <c r="I302" s="205"/>
      <c r="K302" s="205"/>
      <c r="M302" s="205"/>
    </row>
    <row r="303" spans="3:13" s="112" customFormat="1" ht="12.75">
      <c r="C303" s="181"/>
      <c r="D303" s="205"/>
      <c r="E303" s="206"/>
      <c r="F303" s="205"/>
      <c r="G303" s="205"/>
      <c r="I303" s="205"/>
      <c r="K303" s="205"/>
      <c r="M303" s="205"/>
    </row>
    <row r="304" spans="3:13" s="112" customFormat="1" ht="12.75">
      <c r="C304" s="181"/>
      <c r="D304" s="205"/>
      <c r="E304" s="206"/>
      <c r="F304" s="205"/>
      <c r="G304" s="205"/>
      <c r="I304" s="205"/>
      <c r="K304" s="205"/>
      <c r="M304" s="205"/>
    </row>
    <row r="305" spans="3:13" s="112" customFormat="1" ht="12.75">
      <c r="C305" s="181"/>
      <c r="D305" s="205"/>
      <c r="E305" s="206"/>
      <c r="F305" s="205"/>
      <c r="G305" s="205"/>
      <c r="I305" s="205"/>
      <c r="K305" s="205"/>
      <c r="M305" s="205"/>
    </row>
    <row r="306" spans="3:13" s="112" customFormat="1" ht="12.75">
      <c r="C306" s="181"/>
      <c r="D306" s="205"/>
      <c r="E306" s="206"/>
      <c r="F306" s="205"/>
      <c r="G306" s="205"/>
      <c r="I306" s="205"/>
      <c r="K306" s="205"/>
      <c r="M306" s="205"/>
    </row>
    <row r="307" spans="3:13" s="112" customFormat="1" ht="12.75">
      <c r="C307" s="181"/>
      <c r="D307" s="205"/>
      <c r="E307" s="206"/>
      <c r="F307" s="205"/>
      <c r="G307" s="205"/>
      <c r="I307" s="205"/>
      <c r="K307" s="205"/>
      <c r="M307" s="205"/>
    </row>
    <row r="308" spans="3:13" s="112" customFormat="1" ht="12.75">
      <c r="C308" s="181"/>
      <c r="D308" s="205"/>
      <c r="E308" s="206"/>
      <c r="F308" s="205"/>
      <c r="G308" s="205"/>
      <c r="I308" s="205"/>
      <c r="K308" s="205"/>
      <c r="M308" s="205"/>
    </row>
    <row r="309" spans="3:13" s="112" customFormat="1" ht="12.75">
      <c r="C309" s="181"/>
      <c r="D309" s="205"/>
      <c r="E309" s="206"/>
      <c r="F309" s="205"/>
      <c r="G309" s="205"/>
      <c r="I309" s="205"/>
      <c r="K309" s="205"/>
      <c r="M309" s="205"/>
    </row>
    <row r="310" spans="3:13" s="112" customFormat="1" ht="12.75">
      <c r="C310" s="181"/>
      <c r="D310" s="205"/>
      <c r="E310" s="206"/>
      <c r="F310" s="205"/>
      <c r="G310" s="205"/>
      <c r="I310" s="205"/>
      <c r="K310" s="205"/>
      <c r="M310" s="205"/>
    </row>
    <row r="311" spans="3:13" s="112" customFormat="1" ht="12.75">
      <c r="C311" s="181"/>
      <c r="D311" s="205"/>
      <c r="E311" s="206"/>
      <c r="F311" s="205"/>
      <c r="G311" s="205"/>
      <c r="I311" s="205"/>
      <c r="K311" s="205"/>
      <c r="M311" s="205"/>
    </row>
    <row r="312" spans="3:13" s="112" customFormat="1" ht="12.75">
      <c r="C312" s="181"/>
      <c r="D312" s="205"/>
      <c r="E312" s="206"/>
      <c r="F312" s="205"/>
      <c r="G312" s="205"/>
      <c r="I312" s="205"/>
      <c r="K312" s="205"/>
      <c r="M312" s="205"/>
    </row>
    <row r="313" spans="3:13" s="112" customFormat="1" ht="12.75">
      <c r="C313" s="181"/>
      <c r="D313" s="205"/>
      <c r="E313" s="206"/>
      <c r="F313" s="205"/>
      <c r="G313" s="205"/>
      <c r="I313" s="205"/>
      <c r="K313" s="205"/>
      <c r="M313" s="205"/>
    </row>
    <row r="314" spans="3:13" s="112" customFormat="1" ht="12.75">
      <c r="C314" s="181"/>
      <c r="D314" s="205"/>
      <c r="E314" s="206"/>
      <c r="F314" s="205"/>
      <c r="G314" s="205"/>
      <c r="I314" s="205"/>
      <c r="K314" s="205"/>
      <c r="M314" s="205"/>
    </row>
    <row r="315" spans="3:13" s="112" customFormat="1" ht="12.75">
      <c r="C315" s="181"/>
      <c r="D315" s="205"/>
      <c r="E315" s="206"/>
      <c r="F315" s="205"/>
      <c r="G315" s="205"/>
      <c r="I315" s="205"/>
      <c r="K315" s="205"/>
      <c r="M315" s="205"/>
    </row>
    <row r="316" spans="3:13" s="112" customFormat="1" ht="12.75">
      <c r="C316" s="181"/>
      <c r="D316" s="205"/>
      <c r="E316" s="206"/>
      <c r="F316" s="205"/>
      <c r="G316" s="205"/>
      <c r="I316" s="205"/>
      <c r="K316" s="205"/>
      <c r="M316" s="205"/>
    </row>
    <row r="317" spans="3:13" s="112" customFormat="1" ht="12.75">
      <c r="C317" s="181"/>
      <c r="D317" s="205"/>
      <c r="E317" s="206"/>
      <c r="F317" s="205"/>
      <c r="G317" s="205"/>
      <c r="I317" s="205"/>
      <c r="K317" s="205"/>
      <c r="M317" s="205"/>
    </row>
    <row r="318" spans="3:13" s="112" customFormat="1" ht="12.75">
      <c r="C318" s="181"/>
      <c r="D318" s="205"/>
      <c r="E318" s="206"/>
      <c r="F318" s="205"/>
      <c r="G318" s="205"/>
      <c r="I318" s="205"/>
      <c r="K318" s="205"/>
      <c r="M318" s="205"/>
    </row>
    <row r="319" spans="3:13" s="112" customFormat="1" ht="12.75">
      <c r="C319" s="181"/>
      <c r="D319" s="205"/>
      <c r="E319" s="206"/>
      <c r="F319" s="205"/>
      <c r="G319" s="205"/>
      <c r="I319" s="205"/>
      <c r="K319" s="205"/>
      <c r="M319" s="205"/>
    </row>
    <row r="320" spans="3:13" s="112" customFormat="1" ht="12.75">
      <c r="C320" s="181"/>
      <c r="D320" s="205"/>
      <c r="E320" s="206"/>
      <c r="F320" s="205"/>
      <c r="G320" s="205"/>
      <c r="I320" s="205"/>
      <c r="K320" s="205"/>
      <c r="M320" s="205"/>
    </row>
    <row r="321" spans="3:13" s="112" customFormat="1" ht="12.75">
      <c r="C321" s="181"/>
      <c r="D321" s="205"/>
      <c r="E321" s="206"/>
      <c r="F321" s="205"/>
      <c r="G321" s="205"/>
      <c r="I321" s="205"/>
      <c r="K321" s="205"/>
      <c r="M321" s="205"/>
    </row>
    <row r="322" spans="3:13" s="112" customFormat="1" ht="12.75">
      <c r="C322" s="181"/>
      <c r="D322" s="205"/>
      <c r="E322" s="206"/>
      <c r="F322" s="205"/>
      <c r="G322" s="205"/>
      <c r="I322" s="205"/>
      <c r="K322" s="205"/>
      <c r="M322" s="205"/>
    </row>
    <row r="323" spans="3:13" s="112" customFormat="1" ht="12.75">
      <c r="C323" s="181"/>
      <c r="D323" s="205"/>
      <c r="E323" s="206"/>
      <c r="F323" s="205"/>
      <c r="G323" s="205"/>
      <c r="I323" s="205"/>
      <c r="K323" s="205"/>
      <c r="M323" s="205"/>
    </row>
    <row r="324" spans="3:13" s="112" customFormat="1" ht="12.75">
      <c r="C324" s="181"/>
      <c r="D324" s="205"/>
      <c r="E324" s="206"/>
      <c r="F324" s="205"/>
      <c r="G324" s="205"/>
      <c r="I324" s="205"/>
      <c r="K324" s="205"/>
      <c r="M324" s="205"/>
    </row>
    <row r="325" spans="3:13" s="112" customFormat="1" ht="12.75">
      <c r="C325" s="181"/>
      <c r="D325" s="205"/>
      <c r="E325" s="206"/>
      <c r="F325" s="205"/>
      <c r="G325" s="205"/>
      <c r="I325" s="205"/>
      <c r="K325" s="205"/>
      <c r="M325" s="205"/>
    </row>
    <row r="326" spans="3:13" s="112" customFormat="1" ht="12.75">
      <c r="C326" s="181"/>
      <c r="D326" s="205"/>
      <c r="E326" s="206"/>
      <c r="F326" s="205"/>
      <c r="G326" s="205"/>
      <c r="I326" s="205"/>
      <c r="K326" s="205"/>
      <c r="M326" s="205"/>
    </row>
    <row r="327" spans="3:13" s="112" customFormat="1" ht="12.75">
      <c r="C327" s="181"/>
      <c r="D327" s="205"/>
      <c r="E327" s="206"/>
      <c r="F327" s="205"/>
      <c r="G327" s="205"/>
      <c r="I327" s="205"/>
      <c r="K327" s="205"/>
      <c r="M327" s="205"/>
    </row>
    <row r="328" spans="3:13" s="112" customFormat="1" ht="12.75">
      <c r="C328" s="181"/>
      <c r="D328" s="205"/>
      <c r="E328" s="206"/>
      <c r="F328" s="205"/>
      <c r="G328" s="205"/>
      <c r="I328" s="205"/>
      <c r="K328" s="205"/>
      <c r="M328" s="205"/>
    </row>
    <row r="329" spans="3:13" s="112" customFormat="1" ht="12.75">
      <c r="C329" s="181"/>
      <c r="D329" s="205"/>
      <c r="E329" s="206"/>
      <c r="F329" s="205"/>
      <c r="G329" s="205"/>
      <c r="I329" s="205"/>
      <c r="K329" s="205"/>
      <c r="M329" s="205"/>
    </row>
    <row r="330" spans="3:13" s="112" customFormat="1" ht="12.75">
      <c r="C330" s="181"/>
      <c r="D330" s="205"/>
      <c r="E330" s="206"/>
      <c r="F330" s="205"/>
      <c r="G330" s="205"/>
      <c r="I330" s="205"/>
      <c r="K330" s="205"/>
      <c r="M330" s="205"/>
    </row>
    <row r="331" spans="3:13" s="112" customFormat="1" ht="12.75">
      <c r="C331" s="181"/>
      <c r="D331" s="205"/>
      <c r="E331" s="206"/>
      <c r="F331" s="205"/>
      <c r="G331" s="205"/>
      <c r="I331" s="205"/>
      <c r="K331" s="205"/>
      <c r="M331" s="205"/>
    </row>
    <row r="332" spans="3:13" s="112" customFormat="1" ht="12.75">
      <c r="C332" s="181"/>
      <c r="D332" s="205"/>
      <c r="E332" s="206"/>
      <c r="F332" s="205"/>
      <c r="G332" s="205"/>
      <c r="I332" s="205"/>
      <c r="K332" s="205"/>
      <c r="M332" s="205"/>
    </row>
    <row r="333" spans="3:13" s="112" customFormat="1" ht="12.75">
      <c r="C333" s="181"/>
      <c r="D333" s="205"/>
      <c r="E333" s="206"/>
      <c r="F333" s="205"/>
      <c r="G333" s="205"/>
      <c r="I333" s="205"/>
      <c r="K333" s="205"/>
      <c r="M333" s="205"/>
    </row>
    <row r="334" spans="3:13" s="112" customFormat="1" ht="12.75">
      <c r="C334" s="181"/>
      <c r="D334" s="205"/>
      <c r="E334" s="206"/>
      <c r="F334" s="205"/>
      <c r="G334" s="205"/>
      <c r="I334" s="205"/>
      <c r="K334" s="205"/>
      <c r="M334" s="205"/>
    </row>
    <row r="335" spans="3:13" s="112" customFormat="1" ht="12.75">
      <c r="C335" s="181"/>
      <c r="D335" s="205"/>
      <c r="E335" s="206"/>
      <c r="F335" s="205"/>
      <c r="G335" s="205"/>
      <c r="I335" s="205"/>
      <c r="K335" s="205"/>
      <c r="M335" s="205"/>
    </row>
    <row r="336" spans="3:13" s="112" customFormat="1" ht="12.75">
      <c r="C336" s="181"/>
      <c r="D336" s="205"/>
      <c r="E336" s="206"/>
      <c r="F336" s="205"/>
      <c r="G336" s="205"/>
      <c r="I336" s="205"/>
      <c r="K336" s="205"/>
      <c r="M336" s="205"/>
    </row>
    <row r="337" spans="3:13" s="112" customFormat="1" ht="12.75">
      <c r="C337" s="181"/>
      <c r="D337" s="205"/>
      <c r="E337" s="206"/>
      <c r="F337" s="205"/>
      <c r="G337" s="205"/>
      <c r="I337" s="205"/>
      <c r="K337" s="205"/>
      <c r="M337" s="205"/>
    </row>
    <row r="338" spans="3:13" s="112" customFormat="1" ht="12.75">
      <c r="C338" s="181"/>
      <c r="D338" s="205"/>
      <c r="E338" s="206"/>
      <c r="F338" s="205"/>
      <c r="G338" s="205"/>
      <c r="I338" s="205"/>
      <c r="K338" s="205"/>
      <c r="M338" s="205"/>
    </row>
    <row r="339" spans="3:13" s="112" customFormat="1" ht="12.75">
      <c r="C339" s="181"/>
      <c r="D339" s="205"/>
      <c r="E339" s="206"/>
      <c r="F339" s="205"/>
      <c r="G339" s="205"/>
      <c r="I339" s="205"/>
      <c r="K339" s="205"/>
      <c r="M339" s="205"/>
    </row>
    <row r="340" spans="3:13" s="112" customFormat="1" ht="12.75">
      <c r="C340" s="181"/>
      <c r="D340" s="205"/>
      <c r="E340" s="206"/>
      <c r="F340" s="205"/>
      <c r="G340" s="205"/>
      <c r="I340" s="205"/>
      <c r="K340" s="205"/>
      <c r="M340" s="205"/>
    </row>
    <row r="341" spans="3:13" s="112" customFormat="1" ht="12.75">
      <c r="C341" s="181"/>
      <c r="D341" s="205"/>
      <c r="E341" s="206"/>
      <c r="F341" s="205"/>
      <c r="G341" s="205"/>
      <c r="I341" s="205"/>
      <c r="K341" s="205"/>
      <c r="M341" s="205"/>
    </row>
    <row r="342" spans="3:13" s="112" customFormat="1" ht="12.75">
      <c r="C342" s="181"/>
      <c r="D342" s="205"/>
      <c r="E342" s="206"/>
      <c r="F342" s="205"/>
      <c r="G342" s="205"/>
      <c r="I342" s="205"/>
      <c r="K342" s="205"/>
      <c r="M342" s="205"/>
    </row>
    <row r="343" spans="3:13" s="112" customFormat="1" ht="12.75">
      <c r="C343" s="181"/>
      <c r="D343" s="205"/>
      <c r="E343" s="206"/>
      <c r="F343" s="205"/>
      <c r="G343" s="205"/>
      <c r="I343" s="205"/>
      <c r="K343" s="205"/>
      <c r="M343" s="205"/>
    </row>
    <row r="344" spans="3:13" s="112" customFormat="1" ht="12.75">
      <c r="C344" s="181"/>
      <c r="D344" s="205"/>
      <c r="E344" s="206"/>
      <c r="F344" s="205"/>
      <c r="G344" s="205"/>
      <c r="I344" s="205"/>
      <c r="K344" s="205"/>
      <c r="M344" s="205"/>
    </row>
    <row r="345" spans="3:13" s="112" customFormat="1" ht="12.75">
      <c r="C345" s="181"/>
      <c r="D345" s="205"/>
      <c r="E345" s="206"/>
      <c r="F345" s="205"/>
      <c r="G345" s="205"/>
      <c r="I345" s="205"/>
      <c r="K345" s="205"/>
      <c r="M345" s="205"/>
    </row>
    <row r="346" spans="3:13" s="112" customFormat="1" ht="12.75">
      <c r="C346" s="181"/>
      <c r="D346" s="205"/>
      <c r="E346" s="206"/>
      <c r="F346" s="205"/>
      <c r="G346" s="205"/>
      <c r="I346" s="205"/>
      <c r="K346" s="205"/>
      <c r="M346" s="205"/>
    </row>
    <row r="347" spans="3:13" s="112" customFormat="1" ht="12.75">
      <c r="C347" s="181"/>
      <c r="D347" s="205"/>
      <c r="E347" s="206"/>
      <c r="F347" s="205"/>
      <c r="G347" s="205"/>
      <c r="I347" s="205"/>
      <c r="K347" s="205"/>
      <c r="M347" s="205"/>
    </row>
    <row r="348" spans="3:13" s="112" customFormat="1" ht="12.75">
      <c r="C348" s="181"/>
      <c r="D348" s="205"/>
      <c r="E348" s="206"/>
      <c r="F348" s="205"/>
      <c r="G348" s="205"/>
      <c r="I348" s="205"/>
      <c r="K348" s="205"/>
      <c r="M348" s="205"/>
    </row>
    <row r="349" spans="3:13" s="112" customFormat="1" ht="12.75">
      <c r="C349" s="181"/>
      <c r="D349" s="205"/>
      <c r="E349" s="206"/>
      <c r="F349" s="205"/>
      <c r="G349" s="205"/>
      <c r="I349" s="205"/>
      <c r="K349" s="205"/>
      <c r="M349" s="205"/>
    </row>
    <row r="350" spans="3:13" s="112" customFormat="1" ht="12.75">
      <c r="C350" s="181"/>
      <c r="D350" s="205"/>
      <c r="E350" s="206"/>
      <c r="F350" s="205"/>
      <c r="G350" s="205"/>
      <c r="I350" s="205"/>
      <c r="K350" s="205"/>
      <c r="M350" s="205"/>
    </row>
    <row r="351" spans="3:13" s="112" customFormat="1" ht="12.75">
      <c r="C351" s="181"/>
      <c r="D351" s="205"/>
      <c r="E351" s="206"/>
      <c r="F351" s="205"/>
      <c r="G351" s="205"/>
      <c r="I351" s="205"/>
      <c r="K351" s="205"/>
      <c r="M351" s="205"/>
    </row>
    <row r="352" spans="3:13" s="112" customFormat="1" ht="12.75">
      <c r="C352" s="181"/>
      <c r="D352" s="205"/>
      <c r="E352" s="206"/>
      <c r="F352" s="205"/>
      <c r="G352" s="205"/>
      <c r="I352" s="205"/>
      <c r="K352" s="205"/>
      <c r="M352" s="205"/>
    </row>
    <row r="353" spans="3:13" s="112" customFormat="1" ht="12.75">
      <c r="C353" s="181"/>
      <c r="D353" s="205"/>
      <c r="E353" s="206"/>
      <c r="F353" s="205"/>
      <c r="G353" s="205"/>
      <c r="I353" s="205"/>
      <c r="K353" s="205"/>
      <c r="M353" s="205"/>
    </row>
    <row r="354" spans="3:13" s="112" customFormat="1" ht="12.75">
      <c r="C354" s="181"/>
      <c r="D354" s="205"/>
      <c r="E354" s="206"/>
      <c r="F354" s="205"/>
      <c r="G354" s="205"/>
      <c r="I354" s="205"/>
      <c r="K354" s="205"/>
      <c r="M354" s="205"/>
    </row>
    <row r="355" spans="3:13" s="112" customFormat="1" ht="12.75">
      <c r="C355" s="181"/>
      <c r="D355" s="205"/>
      <c r="E355" s="206"/>
      <c r="F355" s="205"/>
      <c r="G355" s="205"/>
      <c r="I355" s="205"/>
      <c r="K355" s="205"/>
      <c r="M355" s="205"/>
    </row>
    <row r="356" spans="3:13" s="112" customFormat="1" ht="12.75">
      <c r="C356" s="181"/>
      <c r="D356" s="205"/>
      <c r="E356" s="206"/>
      <c r="F356" s="205"/>
      <c r="G356" s="205"/>
      <c r="I356" s="205"/>
      <c r="K356" s="205"/>
      <c r="M356" s="205"/>
    </row>
    <row r="357" spans="3:13" s="112" customFormat="1" ht="12.75">
      <c r="C357" s="181"/>
      <c r="D357" s="205"/>
      <c r="E357" s="206"/>
      <c r="F357" s="205"/>
      <c r="G357" s="205"/>
      <c r="I357" s="205"/>
      <c r="K357" s="205"/>
      <c r="M357" s="205"/>
    </row>
    <row r="358" spans="3:13" s="112" customFormat="1" ht="12.75">
      <c r="C358" s="181"/>
      <c r="D358" s="205"/>
      <c r="E358" s="206"/>
      <c r="F358" s="205"/>
      <c r="G358" s="205"/>
      <c r="I358" s="205"/>
      <c r="K358" s="205"/>
      <c r="M358" s="205"/>
    </row>
    <row r="359" spans="3:13" s="112" customFormat="1" ht="12.75">
      <c r="C359" s="181"/>
      <c r="D359" s="205"/>
      <c r="E359" s="206"/>
      <c r="F359" s="205"/>
      <c r="G359" s="205"/>
      <c r="I359" s="205"/>
      <c r="K359" s="205"/>
      <c r="M359" s="205"/>
    </row>
    <row r="360" spans="3:13" s="112" customFormat="1" ht="12.75">
      <c r="C360" s="181"/>
      <c r="D360" s="205"/>
      <c r="E360" s="206"/>
      <c r="F360" s="205"/>
      <c r="G360" s="205"/>
      <c r="I360" s="205"/>
      <c r="K360" s="205"/>
      <c r="M360" s="205"/>
    </row>
    <row r="361" spans="3:13" s="112" customFormat="1" ht="12.75">
      <c r="C361" s="181"/>
      <c r="D361" s="205"/>
      <c r="E361" s="206"/>
      <c r="F361" s="205"/>
      <c r="G361" s="205"/>
      <c r="I361" s="205"/>
      <c r="K361" s="205"/>
      <c r="M361" s="205"/>
    </row>
    <row r="362" spans="3:13" s="112" customFormat="1" ht="12.75">
      <c r="C362" s="181"/>
      <c r="D362" s="205"/>
      <c r="E362" s="206"/>
      <c r="F362" s="205"/>
      <c r="G362" s="205"/>
      <c r="I362" s="205"/>
      <c r="K362" s="205"/>
      <c r="M362" s="205"/>
    </row>
    <row r="363" spans="3:13" s="112" customFormat="1" ht="12.75">
      <c r="C363" s="181"/>
      <c r="D363" s="205"/>
      <c r="E363" s="206"/>
      <c r="F363" s="205"/>
      <c r="G363" s="205"/>
      <c r="I363" s="205"/>
      <c r="K363" s="205"/>
      <c r="M363" s="205"/>
    </row>
    <row r="364" spans="3:13" s="112" customFormat="1" ht="12.75">
      <c r="C364" s="181"/>
      <c r="D364" s="205"/>
      <c r="E364" s="206"/>
      <c r="F364" s="205"/>
      <c r="G364" s="205"/>
      <c r="I364" s="205"/>
      <c r="K364" s="205"/>
      <c r="M364" s="205"/>
    </row>
    <row r="365" spans="3:13" s="112" customFormat="1" ht="12.75">
      <c r="C365" s="181"/>
      <c r="D365" s="205"/>
      <c r="E365" s="206"/>
      <c r="F365" s="205"/>
      <c r="G365" s="205"/>
      <c r="I365" s="205"/>
      <c r="K365" s="205"/>
      <c r="M365" s="205"/>
    </row>
    <row r="366" spans="3:13" s="112" customFormat="1" ht="12.75">
      <c r="C366" s="181"/>
      <c r="D366" s="205"/>
      <c r="E366" s="206"/>
      <c r="F366" s="205"/>
      <c r="G366" s="205"/>
      <c r="I366" s="205"/>
      <c r="K366" s="205"/>
      <c r="M366" s="205"/>
    </row>
    <row r="367" spans="3:13" s="112" customFormat="1" ht="12.75">
      <c r="C367" s="181"/>
      <c r="D367" s="205"/>
      <c r="E367" s="206"/>
      <c r="F367" s="205"/>
      <c r="G367" s="205"/>
      <c r="I367" s="205"/>
      <c r="K367" s="205"/>
      <c r="M367" s="205"/>
    </row>
    <row r="368" spans="3:13" s="112" customFormat="1" ht="12.75">
      <c r="C368" s="181"/>
      <c r="D368" s="205"/>
      <c r="E368" s="206"/>
      <c r="F368" s="205"/>
      <c r="G368" s="205"/>
      <c r="I368" s="205"/>
      <c r="K368" s="205"/>
      <c r="M368" s="205"/>
    </row>
    <row r="369" spans="3:13" s="112" customFormat="1" ht="12.75">
      <c r="C369" s="181"/>
      <c r="D369" s="205"/>
      <c r="E369" s="206"/>
      <c r="F369" s="205"/>
      <c r="G369" s="205"/>
      <c r="I369" s="205"/>
      <c r="K369" s="205"/>
      <c r="M369" s="205"/>
    </row>
    <row r="370" spans="3:13" s="112" customFormat="1" ht="12.75">
      <c r="C370" s="181"/>
      <c r="D370" s="205"/>
      <c r="E370" s="206"/>
      <c r="F370" s="205"/>
      <c r="G370" s="205"/>
      <c r="I370" s="205"/>
      <c r="K370" s="205"/>
      <c r="M370" s="205"/>
    </row>
    <row r="371" spans="3:13" s="112" customFormat="1" ht="12.75">
      <c r="C371" s="181"/>
      <c r="D371" s="205"/>
      <c r="E371" s="206"/>
      <c r="F371" s="205"/>
      <c r="G371" s="205"/>
      <c r="I371" s="205"/>
      <c r="K371" s="205"/>
      <c r="M371" s="205"/>
    </row>
    <row r="372" spans="3:13" s="112" customFormat="1" ht="12.75">
      <c r="C372" s="181"/>
      <c r="D372" s="205"/>
      <c r="E372" s="206"/>
      <c r="F372" s="205"/>
      <c r="G372" s="205"/>
      <c r="I372" s="205"/>
      <c r="K372" s="205"/>
      <c r="M372" s="205"/>
    </row>
    <row r="373" spans="3:13" s="112" customFormat="1" ht="12.75">
      <c r="C373" s="181"/>
      <c r="D373" s="205"/>
      <c r="E373" s="206"/>
      <c r="F373" s="205"/>
      <c r="G373" s="205"/>
      <c r="I373" s="205"/>
      <c r="K373" s="205"/>
      <c r="M373" s="205"/>
    </row>
    <row r="374" spans="3:13" s="112" customFormat="1" ht="12.75">
      <c r="C374" s="181"/>
      <c r="D374" s="205"/>
      <c r="E374" s="206"/>
      <c r="F374" s="205"/>
      <c r="G374" s="205"/>
      <c r="I374" s="205"/>
      <c r="K374" s="205"/>
      <c r="M374" s="205"/>
    </row>
    <row r="375" spans="3:13" s="112" customFormat="1" ht="12.75">
      <c r="C375" s="181"/>
      <c r="D375" s="205"/>
      <c r="E375" s="206"/>
      <c r="F375" s="205"/>
      <c r="G375" s="205"/>
      <c r="I375" s="205"/>
      <c r="K375" s="205"/>
      <c r="M375" s="205"/>
    </row>
    <row r="376" spans="3:13" s="112" customFormat="1" ht="12.75">
      <c r="C376" s="181"/>
      <c r="D376" s="205"/>
      <c r="E376" s="206"/>
      <c r="F376" s="205"/>
      <c r="G376" s="205"/>
      <c r="I376" s="205"/>
      <c r="K376" s="205"/>
      <c r="M376" s="205"/>
    </row>
    <row r="377" spans="3:13" s="112" customFormat="1" ht="12.75">
      <c r="C377" s="181"/>
      <c r="D377" s="205"/>
      <c r="E377" s="206"/>
      <c r="F377" s="205"/>
      <c r="G377" s="205"/>
      <c r="I377" s="205"/>
      <c r="K377" s="205"/>
      <c r="M377" s="205"/>
    </row>
    <row r="378" spans="3:13" s="112" customFormat="1" ht="12.75">
      <c r="C378" s="181"/>
      <c r="D378" s="205"/>
      <c r="E378" s="206"/>
      <c r="F378" s="205"/>
      <c r="G378" s="205"/>
      <c r="I378" s="205"/>
      <c r="K378" s="205"/>
      <c r="M378" s="205"/>
    </row>
    <row r="379" spans="3:13" s="112" customFormat="1" ht="12.75">
      <c r="C379" s="181"/>
      <c r="D379" s="205"/>
      <c r="E379" s="206"/>
      <c r="F379" s="205"/>
      <c r="G379" s="205"/>
      <c r="I379" s="205"/>
      <c r="K379" s="205"/>
      <c r="M379" s="205"/>
    </row>
    <row r="380" spans="3:13" s="112" customFormat="1" ht="12.75">
      <c r="C380" s="181"/>
      <c r="D380" s="205"/>
      <c r="E380" s="206"/>
      <c r="F380" s="205"/>
      <c r="G380" s="205"/>
      <c r="I380" s="205"/>
      <c r="K380" s="205"/>
      <c r="M380" s="205"/>
    </row>
    <row r="381" spans="3:13" s="112" customFormat="1" ht="12.75">
      <c r="C381" s="181"/>
      <c r="D381" s="205"/>
      <c r="E381" s="206"/>
      <c r="F381" s="205"/>
      <c r="G381" s="205"/>
      <c r="I381" s="205"/>
      <c r="K381" s="205"/>
      <c r="M381" s="205"/>
    </row>
    <row r="382" spans="3:13" s="112" customFormat="1" ht="12.75">
      <c r="C382" s="181"/>
      <c r="D382" s="205"/>
      <c r="E382" s="206"/>
      <c r="F382" s="205"/>
      <c r="G382" s="205"/>
      <c r="I382" s="205"/>
      <c r="K382" s="205"/>
      <c r="M382" s="205"/>
    </row>
    <row r="383" spans="3:13" s="112" customFormat="1" ht="12.75">
      <c r="C383" s="181"/>
      <c r="D383" s="205"/>
      <c r="E383" s="206"/>
      <c r="F383" s="205"/>
      <c r="G383" s="205"/>
      <c r="I383" s="205"/>
      <c r="K383" s="205"/>
      <c r="M383" s="205"/>
    </row>
    <row r="384" spans="3:13" s="112" customFormat="1" ht="12.75">
      <c r="C384" s="181"/>
      <c r="D384" s="205"/>
      <c r="E384" s="206"/>
      <c r="F384" s="205"/>
      <c r="G384" s="205"/>
      <c r="I384" s="205"/>
      <c r="K384" s="205"/>
      <c r="M384" s="205"/>
    </row>
    <row r="385" spans="3:13" s="112" customFormat="1" ht="12.75">
      <c r="C385" s="181"/>
      <c r="D385" s="205"/>
      <c r="E385" s="206"/>
      <c r="F385" s="205"/>
      <c r="G385" s="205"/>
      <c r="I385" s="205"/>
      <c r="K385" s="205"/>
      <c r="M385" s="205"/>
    </row>
    <row r="386" spans="3:13" s="112" customFormat="1" ht="12.75">
      <c r="C386" s="181"/>
      <c r="D386" s="205"/>
      <c r="E386" s="206"/>
      <c r="F386" s="205"/>
      <c r="G386" s="205"/>
      <c r="I386" s="205"/>
      <c r="K386" s="205"/>
      <c r="M386" s="205"/>
    </row>
    <row r="387" spans="3:13" s="112" customFormat="1" ht="12.75">
      <c r="C387" s="181"/>
      <c r="D387" s="205"/>
      <c r="E387" s="206"/>
      <c r="F387" s="205"/>
      <c r="G387" s="205"/>
      <c r="I387" s="205"/>
      <c r="K387" s="205"/>
      <c r="M387" s="205"/>
    </row>
    <row r="388" spans="3:13" s="112" customFormat="1" ht="12.75">
      <c r="C388" s="181"/>
      <c r="D388" s="205"/>
      <c r="E388" s="206"/>
      <c r="F388" s="205"/>
      <c r="G388" s="205"/>
      <c r="I388" s="205"/>
      <c r="K388" s="205"/>
      <c r="M388" s="205"/>
    </row>
    <row r="389" spans="3:13" s="112" customFormat="1" ht="12.75">
      <c r="C389" s="181"/>
      <c r="D389" s="205"/>
      <c r="E389" s="206"/>
      <c r="F389" s="205"/>
      <c r="G389" s="205"/>
      <c r="I389" s="205"/>
      <c r="K389" s="205"/>
      <c r="M389" s="205"/>
    </row>
    <row r="390" spans="3:13" s="112" customFormat="1" ht="12.75">
      <c r="C390" s="181"/>
      <c r="D390" s="205"/>
      <c r="E390" s="206"/>
      <c r="F390" s="205"/>
      <c r="G390" s="205"/>
      <c r="I390" s="205"/>
      <c r="K390" s="205"/>
      <c r="M390" s="205"/>
    </row>
    <row r="391" spans="3:13" s="112" customFormat="1" ht="12.75">
      <c r="C391" s="181"/>
      <c r="D391" s="205"/>
      <c r="E391" s="206"/>
      <c r="F391" s="205"/>
      <c r="G391" s="205"/>
      <c r="I391" s="205"/>
      <c r="K391" s="205"/>
      <c r="M391" s="205"/>
    </row>
    <row r="392" spans="3:13" s="112" customFormat="1" ht="12.75">
      <c r="C392" s="181"/>
      <c r="D392" s="205"/>
      <c r="E392" s="206"/>
      <c r="F392" s="205"/>
      <c r="G392" s="205"/>
      <c r="I392" s="205"/>
      <c r="K392" s="205"/>
      <c r="M392" s="205"/>
    </row>
    <row r="393" spans="3:13" s="112" customFormat="1" ht="12.75">
      <c r="C393" s="181"/>
      <c r="D393" s="205"/>
      <c r="E393" s="206"/>
      <c r="F393" s="205"/>
      <c r="G393" s="205"/>
      <c r="I393" s="205"/>
      <c r="K393" s="205"/>
      <c r="M393" s="205"/>
    </row>
    <row r="394" spans="3:13" s="112" customFormat="1" ht="12.75">
      <c r="C394" s="181"/>
      <c r="D394" s="205"/>
      <c r="E394" s="206"/>
      <c r="F394" s="205"/>
      <c r="G394" s="205"/>
      <c r="I394" s="205"/>
      <c r="K394" s="205"/>
      <c r="M394" s="205"/>
    </row>
    <row r="395" spans="3:13" s="112" customFormat="1" ht="12.75">
      <c r="C395" s="181"/>
      <c r="D395" s="205"/>
      <c r="E395" s="206"/>
      <c r="F395" s="205"/>
      <c r="G395" s="205"/>
      <c r="I395" s="205"/>
      <c r="K395" s="205"/>
      <c r="M395" s="205"/>
    </row>
    <row r="396" spans="3:13" s="112" customFormat="1" ht="12.75">
      <c r="C396" s="181"/>
      <c r="D396" s="205"/>
      <c r="E396" s="206"/>
      <c r="F396" s="205"/>
      <c r="G396" s="205"/>
      <c r="I396" s="205"/>
      <c r="K396" s="205"/>
      <c r="M396" s="205"/>
    </row>
    <row r="397" spans="3:13" s="112" customFormat="1" ht="12.75">
      <c r="C397" s="181"/>
      <c r="D397" s="205"/>
      <c r="E397" s="206"/>
      <c r="F397" s="205"/>
      <c r="G397" s="205"/>
      <c r="I397" s="205"/>
      <c r="K397" s="205"/>
      <c r="M397" s="205"/>
    </row>
    <row r="398" spans="3:13" s="112" customFormat="1" ht="12.75">
      <c r="C398" s="181"/>
      <c r="D398" s="205"/>
      <c r="E398" s="206"/>
      <c r="F398" s="205"/>
      <c r="G398" s="205"/>
      <c r="I398" s="205"/>
      <c r="K398" s="205"/>
      <c r="M398" s="205"/>
    </row>
    <row r="399" spans="3:13" s="112" customFormat="1" ht="12.75">
      <c r="C399" s="181"/>
      <c r="D399" s="205"/>
      <c r="E399" s="206"/>
      <c r="F399" s="205"/>
      <c r="G399" s="205"/>
      <c r="I399" s="205"/>
      <c r="K399" s="205"/>
      <c r="M399" s="205"/>
    </row>
    <row r="400" spans="3:13" s="112" customFormat="1" ht="12.75">
      <c r="C400" s="181"/>
      <c r="D400" s="205"/>
      <c r="E400" s="206"/>
      <c r="F400" s="205"/>
      <c r="G400" s="205"/>
      <c r="I400" s="205"/>
      <c r="K400" s="205"/>
      <c r="M400" s="205"/>
    </row>
    <row r="401" spans="3:13" s="112" customFormat="1" ht="12.75">
      <c r="C401" s="181"/>
      <c r="D401" s="205"/>
      <c r="E401" s="206"/>
      <c r="F401" s="205"/>
      <c r="G401" s="205"/>
      <c r="I401" s="205"/>
      <c r="K401" s="205"/>
      <c r="M401" s="205"/>
    </row>
    <row r="402" spans="3:13" s="112" customFormat="1" ht="12.75">
      <c r="C402" s="181"/>
      <c r="D402" s="205"/>
      <c r="E402" s="206"/>
      <c r="F402" s="205"/>
      <c r="G402" s="205"/>
      <c r="I402" s="205"/>
      <c r="K402" s="205"/>
      <c r="M402" s="205"/>
    </row>
    <row r="403" spans="3:13" s="112" customFormat="1" ht="12.75">
      <c r="C403" s="181"/>
      <c r="D403" s="205"/>
      <c r="E403" s="206"/>
      <c r="F403" s="205"/>
      <c r="G403" s="205"/>
      <c r="I403" s="205"/>
      <c r="K403" s="205"/>
      <c r="M403" s="205"/>
    </row>
    <row r="404" spans="3:13" s="112" customFormat="1" ht="12.75">
      <c r="C404" s="181"/>
      <c r="D404" s="205"/>
      <c r="E404" s="206"/>
      <c r="F404" s="205"/>
      <c r="G404" s="205"/>
      <c r="I404" s="205"/>
      <c r="K404" s="205"/>
      <c r="M404" s="205"/>
    </row>
    <row r="405" spans="3:13" s="112" customFormat="1" ht="12.75">
      <c r="C405" s="181"/>
      <c r="D405" s="205"/>
      <c r="E405" s="206"/>
      <c r="F405" s="205"/>
      <c r="G405" s="205"/>
      <c r="I405" s="205"/>
      <c r="K405" s="205"/>
      <c r="M405" s="205"/>
    </row>
    <row r="406" spans="3:13" s="112" customFormat="1" ht="12.75">
      <c r="C406" s="181"/>
      <c r="D406" s="205"/>
      <c r="E406" s="206"/>
      <c r="F406" s="205"/>
      <c r="G406" s="205"/>
      <c r="I406" s="205"/>
      <c r="K406" s="205"/>
      <c r="M406" s="205"/>
    </row>
    <row r="407" spans="3:13" s="112" customFormat="1" ht="12.75">
      <c r="C407" s="181"/>
      <c r="D407" s="205"/>
      <c r="E407" s="206"/>
      <c r="F407" s="205"/>
      <c r="G407" s="205"/>
      <c r="I407" s="205"/>
      <c r="K407" s="205"/>
      <c r="M407" s="205"/>
    </row>
    <row r="408" spans="3:13" s="112" customFormat="1" ht="12.75">
      <c r="C408" s="181"/>
      <c r="D408" s="205"/>
      <c r="E408" s="206"/>
      <c r="F408" s="205"/>
      <c r="G408" s="205"/>
      <c r="I408" s="205"/>
      <c r="K408" s="205"/>
      <c r="M408" s="205"/>
    </row>
    <row r="409" spans="3:13" s="112" customFormat="1" ht="12.75">
      <c r="C409" s="181"/>
      <c r="D409" s="205"/>
      <c r="E409" s="206"/>
      <c r="F409" s="205"/>
      <c r="G409" s="205"/>
      <c r="I409" s="205"/>
      <c r="K409" s="205"/>
      <c r="M409" s="205"/>
    </row>
    <row r="410" spans="3:13" s="112" customFormat="1" ht="12.75">
      <c r="C410" s="181"/>
      <c r="D410" s="205"/>
      <c r="E410" s="206"/>
      <c r="F410" s="205"/>
      <c r="G410" s="205"/>
      <c r="I410" s="205"/>
      <c r="K410" s="205"/>
      <c r="M410" s="205"/>
    </row>
    <row r="411" spans="3:13" s="112" customFormat="1" ht="12.75">
      <c r="C411" s="181"/>
      <c r="D411" s="205"/>
      <c r="E411" s="206"/>
      <c r="F411" s="205"/>
      <c r="G411" s="205"/>
      <c r="I411" s="205"/>
      <c r="K411" s="205"/>
      <c r="M411" s="205"/>
    </row>
    <row r="412" spans="3:13" s="112" customFormat="1" ht="12.75">
      <c r="C412" s="181"/>
      <c r="D412" s="205"/>
      <c r="E412" s="206"/>
      <c r="F412" s="205"/>
      <c r="G412" s="205"/>
      <c r="I412" s="205"/>
      <c r="K412" s="205"/>
      <c r="M412" s="205"/>
    </row>
    <row r="413" spans="3:13" s="112" customFormat="1" ht="12.75">
      <c r="C413" s="181"/>
      <c r="D413" s="205"/>
      <c r="E413" s="206"/>
      <c r="F413" s="205"/>
      <c r="G413" s="205"/>
      <c r="I413" s="205"/>
      <c r="K413" s="205"/>
      <c r="M413" s="205"/>
    </row>
    <row r="414" spans="3:13" s="112" customFormat="1" ht="12.75">
      <c r="C414" s="181"/>
      <c r="D414" s="205"/>
      <c r="E414" s="206"/>
      <c r="F414" s="205"/>
      <c r="G414" s="205"/>
      <c r="I414" s="205"/>
      <c r="K414" s="205"/>
      <c r="M414" s="205"/>
    </row>
    <row r="415" spans="3:13" s="112" customFormat="1" ht="12.75">
      <c r="C415" s="181"/>
      <c r="D415" s="205"/>
      <c r="E415" s="206"/>
      <c r="F415" s="205"/>
      <c r="G415" s="205"/>
      <c r="I415" s="205"/>
      <c r="K415" s="205"/>
      <c r="M415" s="205"/>
    </row>
    <row r="416" spans="3:13" s="112" customFormat="1" ht="12.75">
      <c r="C416" s="181"/>
      <c r="D416" s="205"/>
      <c r="E416" s="206"/>
      <c r="F416" s="205"/>
      <c r="G416" s="205"/>
      <c r="I416" s="205"/>
      <c r="K416" s="205"/>
      <c r="M416" s="205"/>
    </row>
    <row r="417" spans="3:13" s="112" customFormat="1" ht="12.75">
      <c r="C417" s="181"/>
      <c r="D417" s="205"/>
      <c r="E417" s="206"/>
      <c r="F417" s="205"/>
      <c r="G417" s="205"/>
      <c r="I417" s="205"/>
      <c r="K417" s="205"/>
      <c r="M417" s="205"/>
    </row>
    <row r="418" spans="3:13" s="112" customFormat="1" ht="12.75">
      <c r="C418" s="181"/>
      <c r="D418" s="205"/>
      <c r="E418" s="206"/>
      <c r="F418" s="205"/>
      <c r="G418" s="205"/>
      <c r="I418" s="205"/>
      <c r="K418" s="205"/>
      <c r="M418" s="205"/>
    </row>
    <row r="419" spans="3:13" s="112" customFormat="1" ht="12.75">
      <c r="C419" s="181"/>
      <c r="D419" s="205"/>
      <c r="E419" s="206"/>
      <c r="F419" s="205"/>
      <c r="G419" s="205"/>
      <c r="I419" s="205"/>
      <c r="K419" s="205"/>
      <c r="M419" s="205"/>
    </row>
    <row r="420" spans="3:13" s="112" customFormat="1" ht="12.75">
      <c r="C420" s="181"/>
      <c r="D420" s="205"/>
      <c r="E420" s="206"/>
      <c r="F420" s="205"/>
      <c r="G420" s="205"/>
      <c r="I420" s="205"/>
      <c r="K420" s="205"/>
      <c r="M420" s="205"/>
    </row>
    <row r="421" spans="3:13" s="112" customFormat="1" ht="12.75">
      <c r="C421" s="181"/>
      <c r="D421" s="205"/>
      <c r="E421" s="206"/>
      <c r="F421" s="205"/>
      <c r="G421" s="205"/>
      <c r="I421" s="205"/>
      <c r="K421" s="205"/>
      <c r="M421" s="205"/>
    </row>
    <row r="422" spans="3:13" s="112" customFormat="1" ht="12.75">
      <c r="C422" s="181"/>
      <c r="D422" s="205"/>
      <c r="E422" s="206"/>
      <c r="F422" s="205"/>
      <c r="G422" s="205"/>
      <c r="I422" s="205"/>
      <c r="K422" s="205"/>
      <c r="M422" s="205"/>
    </row>
    <row r="423" spans="3:13" s="112" customFormat="1" ht="12.75">
      <c r="C423" s="181"/>
      <c r="D423" s="205"/>
      <c r="E423" s="206"/>
      <c r="F423" s="205"/>
      <c r="G423" s="205"/>
      <c r="I423" s="205"/>
      <c r="K423" s="205"/>
      <c r="M423" s="205"/>
    </row>
    <row r="424" spans="3:13" s="112" customFormat="1" ht="12.75">
      <c r="C424" s="181"/>
      <c r="D424" s="205"/>
      <c r="E424" s="206"/>
      <c r="F424" s="205"/>
      <c r="G424" s="205"/>
      <c r="I424" s="205"/>
      <c r="K424" s="205"/>
      <c r="M424" s="205"/>
    </row>
    <row r="425" spans="3:13" s="112" customFormat="1" ht="12.75">
      <c r="C425" s="181"/>
      <c r="D425" s="205"/>
      <c r="E425" s="206"/>
      <c r="F425" s="205"/>
      <c r="G425" s="205"/>
      <c r="I425" s="205"/>
      <c r="K425" s="205"/>
      <c r="M425" s="205"/>
    </row>
    <row r="426" spans="3:13" s="112" customFormat="1" ht="12.75">
      <c r="C426" s="181"/>
      <c r="D426" s="205"/>
      <c r="E426" s="206"/>
      <c r="F426" s="205"/>
      <c r="G426" s="205"/>
      <c r="I426" s="205"/>
      <c r="K426" s="205"/>
      <c r="M426" s="205"/>
    </row>
    <row r="427" spans="3:13" s="112" customFormat="1" ht="12.75">
      <c r="C427" s="181"/>
      <c r="D427" s="205"/>
      <c r="E427" s="206"/>
      <c r="F427" s="205"/>
      <c r="G427" s="205"/>
      <c r="I427" s="205"/>
      <c r="K427" s="205"/>
      <c r="M427" s="205"/>
    </row>
    <row r="428" spans="3:13" s="112" customFormat="1" ht="12.75">
      <c r="C428" s="181"/>
      <c r="D428" s="205"/>
      <c r="E428" s="206"/>
      <c r="F428" s="205"/>
      <c r="G428" s="205"/>
      <c r="I428" s="205"/>
      <c r="K428" s="205"/>
      <c r="M428" s="205"/>
    </row>
    <row r="429" spans="3:13" s="112" customFormat="1" ht="12.75">
      <c r="C429" s="181"/>
      <c r="D429" s="205"/>
      <c r="E429" s="206"/>
      <c r="F429" s="205"/>
      <c r="G429" s="205"/>
      <c r="I429" s="205"/>
      <c r="K429" s="205"/>
      <c r="M429" s="205"/>
    </row>
    <row r="430" spans="3:13" s="112" customFormat="1" ht="12.75">
      <c r="C430" s="181"/>
      <c r="D430" s="205"/>
      <c r="E430" s="206"/>
      <c r="F430" s="205"/>
      <c r="G430" s="205"/>
      <c r="I430" s="205"/>
      <c r="K430" s="205"/>
      <c r="M430" s="205"/>
    </row>
    <row r="431" spans="3:13" s="112" customFormat="1" ht="12.75">
      <c r="C431" s="181"/>
      <c r="D431" s="205"/>
      <c r="E431" s="206"/>
      <c r="F431" s="205"/>
      <c r="G431" s="205"/>
      <c r="I431" s="205"/>
      <c r="K431" s="205"/>
      <c r="M431" s="205"/>
    </row>
    <row r="432" spans="3:13" s="112" customFormat="1" ht="12.75">
      <c r="C432" s="181"/>
      <c r="D432" s="205"/>
      <c r="E432" s="206"/>
      <c r="F432" s="205"/>
      <c r="G432" s="205"/>
      <c r="I432" s="205"/>
      <c r="K432" s="205"/>
      <c r="M432" s="205"/>
    </row>
    <row r="433" spans="3:13" s="112" customFormat="1" ht="12.75">
      <c r="C433" s="181"/>
      <c r="D433" s="205"/>
      <c r="E433" s="206"/>
      <c r="F433" s="205"/>
      <c r="G433" s="205"/>
      <c r="I433" s="205"/>
      <c r="K433" s="205"/>
      <c r="M433" s="205"/>
    </row>
    <row r="434" spans="3:13" s="112" customFormat="1" ht="12.75">
      <c r="C434" s="181"/>
      <c r="D434" s="205"/>
      <c r="E434" s="206"/>
      <c r="F434" s="205"/>
      <c r="G434" s="205"/>
      <c r="I434" s="205"/>
      <c r="K434" s="205"/>
      <c r="M434" s="205"/>
    </row>
    <row r="435" spans="3:13" s="112" customFormat="1" ht="12.75">
      <c r="C435" s="181"/>
      <c r="D435" s="205"/>
      <c r="E435" s="206"/>
      <c r="F435" s="205"/>
      <c r="G435" s="205"/>
      <c r="I435" s="205"/>
      <c r="K435" s="205"/>
      <c r="M435" s="205"/>
    </row>
    <row r="436" spans="3:13" s="112" customFormat="1" ht="12.75">
      <c r="C436" s="181"/>
      <c r="D436" s="205"/>
      <c r="E436" s="206"/>
      <c r="F436" s="205"/>
      <c r="G436" s="205"/>
      <c r="I436" s="205"/>
      <c r="K436" s="205"/>
      <c r="M436" s="205"/>
    </row>
    <row r="437" spans="3:13" s="112" customFormat="1" ht="12.75">
      <c r="C437" s="181"/>
      <c r="D437" s="205"/>
      <c r="E437" s="206"/>
      <c r="F437" s="205"/>
      <c r="G437" s="205"/>
      <c r="I437" s="205"/>
      <c r="K437" s="205"/>
      <c r="M437" s="205"/>
    </row>
    <row r="438" spans="3:13" s="112" customFormat="1" ht="12.75">
      <c r="C438" s="181"/>
      <c r="D438" s="205"/>
      <c r="E438" s="206"/>
      <c r="F438" s="205"/>
      <c r="G438" s="205"/>
      <c r="I438" s="205"/>
      <c r="K438" s="205"/>
      <c r="M438" s="205"/>
    </row>
    <row r="439" spans="3:13" s="112" customFormat="1" ht="12.75">
      <c r="C439" s="181"/>
      <c r="D439" s="205"/>
      <c r="E439" s="206"/>
      <c r="F439" s="205"/>
      <c r="G439" s="205"/>
      <c r="I439" s="205"/>
      <c r="K439" s="205"/>
      <c r="M439" s="205"/>
    </row>
    <row r="440" spans="3:13" s="112" customFormat="1" ht="12.75">
      <c r="C440" s="181"/>
      <c r="D440" s="205"/>
      <c r="E440" s="206"/>
      <c r="F440" s="205"/>
      <c r="G440" s="205"/>
      <c r="I440" s="205"/>
      <c r="K440" s="205"/>
      <c r="M440" s="205"/>
    </row>
    <row r="441" spans="3:13" s="112" customFormat="1" ht="12.75">
      <c r="C441" s="181"/>
      <c r="D441" s="205"/>
      <c r="E441" s="206"/>
      <c r="F441" s="205"/>
      <c r="G441" s="205"/>
      <c r="I441" s="205"/>
      <c r="K441" s="205"/>
      <c r="M441" s="205"/>
    </row>
    <row r="442" spans="3:13" s="112" customFormat="1" ht="12.75">
      <c r="C442" s="181"/>
      <c r="D442" s="205"/>
      <c r="E442" s="206"/>
      <c r="F442" s="205"/>
      <c r="G442" s="205"/>
      <c r="I442" s="205"/>
      <c r="K442" s="205"/>
      <c r="M442" s="205"/>
    </row>
    <row r="443" spans="3:13" s="112" customFormat="1" ht="12.75">
      <c r="C443" s="181"/>
      <c r="D443" s="205"/>
      <c r="E443" s="206"/>
      <c r="F443" s="205"/>
      <c r="G443" s="205"/>
      <c r="I443" s="205"/>
      <c r="K443" s="205"/>
      <c r="M443" s="205"/>
    </row>
    <row r="444" spans="3:13" s="112" customFormat="1" ht="12.75">
      <c r="C444" s="181"/>
      <c r="D444" s="205"/>
      <c r="E444" s="206"/>
      <c r="F444" s="205"/>
      <c r="G444" s="205"/>
      <c r="I444" s="205"/>
      <c r="K444" s="205"/>
      <c r="M444" s="205"/>
    </row>
    <row r="445" spans="3:13" s="112" customFormat="1" ht="12.75">
      <c r="C445" s="181"/>
      <c r="D445" s="205"/>
      <c r="E445" s="206"/>
      <c r="F445" s="205"/>
      <c r="G445" s="205"/>
      <c r="I445" s="205"/>
      <c r="K445" s="205"/>
      <c r="M445" s="205"/>
    </row>
    <row r="446" spans="3:13" s="112" customFormat="1" ht="12.75">
      <c r="C446" s="181"/>
      <c r="D446" s="205"/>
      <c r="E446" s="206"/>
      <c r="F446" s="205"/>
      <c r="G446" s="205"/>
      <c r="I446" s="205"/>
      <c r="K446" s="205"/>
      <c r="M446" s="205"/>
    </row>
    <row r="447" spans="3:13" s="112" customFormat="1" ht="12.75">
      <c r="C447" s="181"/>
      <c r="D447" s="205"/>
      <c r="E447" s="206"/>
      <c r="F447" s="205"/>
      <c r="G447" s="205"/>
      <c r="I447" s="205"/>
      <c r="K447" s="205"/>
      <c r="M447" s="205"/>
    </row>
    <row r="448" spans="3:13" s="112" customFormat="1" ht="12.75">
      <c r="C448" s="181"/>
      <c r="D448" s="205"/>
      <c r="E448" s="206"/>
      <c r="F448" s="205"/>
      <c r="G448" s="205"/>
      <c r="I448" s="205"/>
      <c r="K448" s="205"/>
      <c r="M448" s="205"/>
    </row>
    <row r="449" spans="3:13" s="112" customFormat="1" ht="12.75">
      <c r="C449" s="181"/>
      <c r="D449" s="205"/>
      <c r="E449" s="206"/>
      <c r="F449" s="205"/>
      <c r="G449" s="205"/>
      <c r="I449" s="205"/>
      <c r="K449" s="205"/>
      <c r="M449" s="205"/>
    </row>
    <row r="450" spans="3:13" s="112" customFormat="1" ht="12.75">
      <c r="C450" s="181"/>
      <c r="D450" s="205"/>
      <c r="E450" s="206"/>
      <c r="F450" s="205"/>
      <c r="G450" s="205"/>
      <c r="I450" s="205"/>
      <c r="K450" s="205"/>
      <c r="M450" s="205"/>
    </row>
    <row r="451" spans="3:13" s="112" customFormat="1" ht="12.75">
      <c r="C451" s="181"/>
      <c r="D451" s="205"/>
      <c r="E451" s="206"/>
      <c r="F451" s="205"/>
      <c r="G451" s="205"/>
      <c r="I451" s="205"/>
      <c r="K451" s="205"/>
      <c r="M451" s="205"/>
    </row>
    <row r="452" spans="3:13" s="112" customFormat="1" ht="12.75">
      <c r="C452" s="181"/>
      <c r="D452" s="205"/>
      <c r="E452" s="206"/>
      <c r="F452" s="205"/>
      <c r="G452" s="205"/>
      <c r="I452" s="205"/>
      <c r="K452" s="205"/>
      <c r="M452" s="205"/>
    </row>
    <row r="453" spans="3:13" s="112" customFormat="1" ht="12.75">
      <c r="C453" s="181"/>
      <c r="D453" s="205"/>
      <c r="E453" s="206"/>
      <c r="F453" s="205"/>
      <c r="G453" s="205"/>
      <c r="I453" s="205"/>
      <c r="K453" s="205"/>
      <c r="M453" s="205"/>
    </row>
    <row r="454" spans="3:13" s="112" customFormat="1" ht="12.75">
      <c r="C454" s="181"/>
      <c r="D454" s="205"/>
      <c r="E454" s="206"/>
      <c r="F454" s="205"/>
      <c r="G454" s="205"/>
      <c r="I454" s="205"/>
      <c r="K454" s="205"/>
      <c r="M454" s="205"/>
    </row>
    <row r="455" spans="3:13" s="112" customFormat="1" ht="12.75">
      <c r="C455" s="181"/>
      <c r="D455" s="205"/>
      <c r="E455" s="206"/>
      <c r="F455" s="205"/>
      <c r="G455" s="205"/>
      <c r="I455" s="205"/>
      <c r="K455" s="205"/>
      <c r="M455" s="205"/>
    </row>
    <row r="456" spans="3:13" s="112" customFormat="1" ht="12.75">
      <c r="C456" s="181"/>
      <c r="D456" s="205"/>
      <c r="E456" s="206"/>
      <c r="F456" s="205"/>
      <c r="G456" s="205"/>
      <c r="I456" s="205"/>
      <c r="K456" s="205"/>
      <c r="M456" s="205"/>
    </row>
    <row r="457" spans="3:13" s="112" customFormat="1" ht="12.75">
      <c r="C457" s="181"/>
      <c r="D457" s="205"/>
      <c r="E457" s="206"/>
      <c r="F457" s="205"/>
      <c r="G457" s="205"/>
      <c r="I457" s="205"/>
      <c r="K457" s="205"/>
      <c r="M457" s="205"/>
    </row>
    <row r="458" spans="3:13" s="112" customFormat="1" ht="12.75">
      <c r="C458" s="181"/>
      <c r="D458" s="205"/>
      <c r="E458" s="206"/>
      <c r="F458" s="205"/>
      <c r="G458" s="205"/>
      <c r="I458" s="205"/>
      <c r="K458" s="205"/>
      <c r="M458" s="205"/>
    </row>
    <row r="459" spans="3:13" s="112" customFormat="1" ht="12.75">
      <c r="C459" s="181"/>
      <c r="D459" s="205"/>
      <c r="E459" s="206"/>
      <c r="F459" s="205"/>
      <c r="G459" s="205"/>
      <c r="I459" s="205"/>
      <c r="K459" s="205"/>
      <c r="M459" s="205"/>
    </row>
    <row r="460" spans="3:13" s="112" customFormat="1" ht="12.75">
      <c r="C460" s="181"/>
      <c r="D460" s="205"/>
      <c r="E460" s="206"/>
      <c r="F460" s="205"/>
      <c r="G460" s="205"/>
      <c r="I460" s="205"/>
      <c r="K460" s="205"/>
      <c r="M460" s="205"/>
    </row>
    <row r="461" spans="3:13" s="112" customFormat="1" ht="12.75">
      <c r="C461" s="181"/>
      <c r="D461" s="205"/>
      <c r="E461" s="206"/>
      <c r="F461" s="205"/>
      <c r="G461" s="205"/>
      <c r="I461" s="205"/>
      <c r="K461" s="205"/>
      <c r="M461" s="205"/>
    </row>
    <row r="462" spans="3:13" s="112" customFormat="1" ht="12.75">
      <c r="C462" s="181"/>
      <c r="D462" s="205"/>
      <c r="E462" s="206"/>
      <c r="F462" s="205"/>
      <c r="G462" s="205"/>
      <c r="I462" s="205"/>
      <c r="K462" s="205"/>
      <c r="M462" s="205"/>
    </row>
    <row r="463" spans="3:13" s="112" customFormat="1" ht="12.75">
      <c r="C463" s="181"/>
      <c r="D463" s="205"/>
      <c r="E463" s="206"/>
      <c r="F463" s="205"/>
      <c r="G463" s="205"/>
      <c r="I463" s="205"/>
      <c r="K463" s="205"/>
      <c r="M463" s="205"/>
    </row>
    <row r="464" spans="3:13" s="112" customFormat="1" ht="12.75">
      <c r="C464" s="181"/>
      <c r="D464" s="205"/>
      <c r="E464" s="206"/>
      <c r="F464" s="205"/>
      <c r="G464" s="205"/>
      <c r="I464" s="205"/>
      <c r="K464" s="205"/>
      <c r="M464" s="205"/>
    </row>
    <row r="465" spans="3:13" s="112" customFormat="1" ht="12.75">
      <c r="C465" s="181"/>
      <c r="D465" s="205"/>
      <c r="E465" s="206"/>
      <c r="F465" s="205"/>
      <c r="G465" s="205"/>
      <c r="I465" s="205"/>
      <c r="K465" s="205"/>
      <c r="M465" s="205"/>
    </row>
    <row r="466" spans="3:13" s="112" customFormat="1" ht="12.75">
      <c r="C466" s="181"/>
      <c r="D466" s="205"/>
      <c r="E466" s="206"/>
      <c r="F466" s="205"/>
      <c r="G466" s="205"/>
      <c r="I466" s="205"/>
      <c r="K466" s="205"/>
      <c r="M466" s="205"/>
    </row>
    <row r="467" spans="3:13" s="112" customFormat="1" ht="12.75">
      <c r="C467" s="181"/>
      <c r="D467" s="205"/>
      <c r="E467" s="206"/>
      <c r="F467" s="205"/>
      <c r="G467" s="205"/>
      <c r="I467" s="205"/>
      <c r="K467" s="205"/>
      <c r="M467" s="205"/>
    </row>
    <row r="468" spans="3:13" s="112" customFormat="1" ht="12.75">
      <c r="C468" s="181"/>
      <c r="D468" s="205"/>
      <c r="E468" s="206"/>
      <c r="F468" s="205"/>
      <c r="G468" s="205"/>
      <c r="I468" s="205"/>
      <c r="K468" s="205"/>
      <c r="M468" s="205"/>
    </row>
    <row r="469" spans="3:13" s="112" customFormat="1" ht="12.75">
      <c r="C469" s="181"/>
      <c r="D469" s="205"/>
      <c r="E469" s="206"/>
      <c r="F469" s="205"/>
      <c r="G469" s="205"/>
      <c r="I469" s="205"/>
      <c r="K469" s="205"/>
      <c r="M469" s="205"/>
    </row>
    <row r="470" spans="3:13" s="112" customFormat="1" ht="12.75">
      <c r="C470" s="181"/>
      <c r="D470" s="205"/>
      <c r="E470" s="206"/>
      <c r="F470" s="205"/>
      <c r="G470" s="205"/>
      <c r="I470" s="205"/>
      <c r="K470" s="205"/>
      <c r="M470" s="205"/>
    </row>
    <row r="471" spans="3:13" s="112" customFormat="1" ht="12.75">
      <c r="C471" s="181"/>
      <c r="D471" s="205"/>
      <c r="E471" s="206"/>
      <c r="F471" s="205"/>
      <c r="G471" s="205"/>
      <c r="I471" s="205"/>
      <c r="K471" s="205"/>
      <c r="M471" s="205"/>
    </row>
    <row r="472" spans="3:13" s="112" customFormat="1" ht="12.75">
      <c r="C472" s="181"/>
      <c r="D472" s="205"/>
      <c r="E472" s="206"/>
      <c r="F472" s="205"/>
      <c r="G472" s="205"/>
      <c r="I472" s="205"/>
      <c r="K472" s="205"/>
      <c r="M472" s="205"/>
    </row>
    <row r="473" spans="3:13" s="112" customFormat="1" ht="12.75">
      <c r="C473" s="181"/>
      <c r="D473" s="205"/>
      <c r="E473" s="206"/>
      <c r="F473" s="205"/>
      <c r="G473" s="205"/>
      <c r="I473" s="205"/>
      <c r="K473" s="205"/>
      <c r="M473" s="205"/>
    </row>
    <row r="474" spans="3:13" s="112" customFormat="1" ht="12.75">
      <c r="C474" s="181"/>
      <c r="D474" s="205"/>
      <c r="E474" s="206"/>
      <c r="F474" s="205"/>
      <c r="G474" s="205"/>
      <c r="I474" s="205"/>
      <c r="K474" s="205"/>
      <c r="M474" s="205"/>
    </row>
    <row r="475" spans="3:13" s="112" customFormat="1" ht="12.75">
      <c r="C475" s="181"/>
      <c r="D475" s="205"/>
      <c r="E475" s="206"/>
      <c r="F475" s="205"/>
      <c r="G475" s="205"/>
      <c r="I475" s="205"/>
      <c r="K475" s="205"/>
      <c r="M475" s="205"/>
    </row>
    <row r="476" spans="3:13" s="112" customFormat="1" ht="12.75">
      <c r="C476" s="181"/>
      <c r="D476" s="205"/>
      <c r="E476" s="206"/>
      <c r="F476" s="205"/>
      <c r="G476" s="205"/>
      <c r="I476" s="205"/>
      <c r="K476" s="205"/>
      <c r="M476" s="205"/>
    </row>
    <row r="477" spans="3:13" s="112" customFormat="1" ht="12.75">
      <c r="C477" s="181"/>
      <c r="D477" s="205"/>
      <c r="E477" s="206"/>
      <c r="F477" s="205"/>
      <c r="G477" s="205"/>
      <c r="I477" s="205"/>
      <c r="K477" s="205"/>
      <c r="M477" s="205"/>
    </row>
    <row r="478" spans="3:13" s="112" customFormat="1" ht="12.75">
      <c r="C478" s="181"/>
      <c r="D478" s="205"/>
      <c r="E478" s="206"/>
      <c r="F478" s="205"/>
      <c r="G478" s="205"/>
      <c r="I478" s="205"/>
      <c r="K478" s="205"/>
      <c r="M478" s="205"/>
    </row>
    <row r="479" spans="3:13" s="112" customFormat="1" ht="12.75">
      <c r="C479" s="181"/>
      <c r="D479" s="205"/>
      <c r="E479" s="206"/>
      <c r="F479" s="205"/>
      <c r="G479" s="205"/>
      <c r="I479" s="205"/>
      <c r="K479" s="205"/>
      <c r="M479" s="205"/>
    </row>
    <row r="480" spans="3:13" s="112" customFormat="1" ht="12.75">
      <c r="C480" s="181"/>
      <c r="D480" s="205"/>
      <c r="E480" s="206"/>
      <c r="F480" s="205"/>
      <c r="G480" s="205"/>
      <c r="I480" s="205"/>
      <c r="K480" s="205"/>
      <c r="M480" s="205"/>
    </row>
    <row r="481" spans="3:13" s="112" customFormat="1" ht="12.75">
      <c r="C481" s="181"/>
      <c r="D481" s="205"/>
      <c r="E481" s="206"/>
      <c r="F481" s="205"/>
      <c r="G481" s="205"/>
      <c r="I481" s="205"/>
      <c r="K481" s="205"/>
      <c r="M481" s="205"/>
    </row>
    <row r="482" spans="3:13" s="112" customFormat="1" ht="12.75">
      <c r="C482" s="181"/>
      <c r="D482" s="205"/>
      <c r="E482" s="206"/>
      <c r="F482" s="205"/>
      <c r="G482" s="205"/>
      <c r="I482" s="205"/>
      <c r="K482" s="205"/>
      <c r="M482" s="205"/>
    </row>
    <row r="483" spans="3:13" s="112" customFormat="1" ht="12.75">
      <c r="C483" s="181"/>
      <c r="D483" s="205"/>
      <c r="E483" s="206"/>
      <c r="F483" s="205"/>
      <c r="G483" s="205"/>
      <c r="I483" s="205"/>
      <c r="K483" s="205"/>
      <c r="M483" s="205"/>
    </row>
    <row r="484" spans="3:13" s="112" customFormat="1" ht="12.75">
      <c r="C484" s="181"/>
      <c r="D484" s="205"/>
      <c r="E484" s="206"/>
      <c r="F484" s="205"/>
      <c r="G484" s="205"/>
      <c r="I484" s="205"/>
      <c r="K484" s="205"/>
      <c r="M484" s="205"/>
    </row>
    <row r="485" spans="3:13" s="112" customFormat="1" ht="12.75">
      <c r="C485" s="181"/>
      <c r="D485" s="205"/>
      <c r="E485" s="206"/>
      <c r="F485" s="205"/>
      <c r="G485" s="205"/>
      <c r="I485" s="205"/>
      <c r="K485" s="205"/>
      <c r="M485" s="205"/>
    </row>
    <row r="486" spans="3:13" s="112" customFormat="1" ht="12.75">
      <c r="C486" s="181"/>
      <c r="D486" s="205"/>
      <c r="E486" s="206"/>
      <c r="F486" s="205"/>
      <c r="G486" s="205"/>
      <c r="I486" s="205"/>
      <c r="K486" s="205"/>
      <c r="M486" s="205"/>
    </row>
    <row r="487" spans="3:13" s="112" customFormat="1" ht="12.75">
      <c r="C487" s="181"/>
      <c r="D487" s="205"/>
      <c r="E487" s="206"/>
      <c r="F487" s="205"/>
      <c r="G487" s="205"/>
      <c r="I487" s="205"/>
      <c r="K487" s="205"/>
      <c r="M487" s="205"/>
    </row>
    <row r="488" spans="3:13" s="112" customFormat="1" ht="12.75">
      <c r="C488" s="181"/>
      <c r="D488" s="205"/>
      <c r="E488" s="206"/>
      <c r="F488" s="205"/>
      <c r="G488" s="205"/>
      <c r="I488" s="205"/>
      <c r="K488" s="205"/>
      <c r="M488" s="205"/>
    </row>
    <row r="489" spans="3:13" s="112" customFormat="1" ht="12.75">
      <c r="C489" s="181"/>
      <c r="D489" s="205"/>
      <c r="E489" s="206"/>
      <c r="F489" s="205"/>
      <c r="G489" s="205"/>
      <c r="I489" s="205"/>
      <c r="K489" s="205"/>
      <c r="M489" s="205"/>
    </row>
    <row r="490" spans="3:13" s="112" customFormat="1" ht="12.75">
      <c r="C490" s="181"/>
      <c r="D490" s="205"/>
      <c r="E490" s="206"/>
      <c r="F490" s="205"/>
      <c r="G490" s="205"/>
      <c r="I490" s="205"/>
      <c r="K490" s="205"/>
      <c r="M490" s="205"/>
    </row>
  </sheetData>
  <sheetProtection password="C857" sheet="1" objects="1" scenarios="1"/>
  <mergeCells count="2">
    <mergeCell ref="C4:G4"/>
    <mergeCell ref="C2:L2"/>
  </mergeCells>
  <phoneticPr fontId="0" type="noConversion"/>
  <pageMargins left="0.39370078740157483" right="0.39370078740157483" top="0.98425196850393704" bottom="0.98425196850393704" header="0.51181102362204722" footer="0.51181102362204722"/>
  <pageSetup paperSize="9" orientation="landscape" r:id="rId1"/>
  <headerFooter alignWithMargins="0">
    <oddFooter>&amp;LZKB KMU Check-up&amp;CSeite &amp;P / &amp;N&amp;R&amp;D</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pageSetUpPr fitToPage="1"/>
  </sheetPr>
  <dimension ref="A1:M486"/>
  <sheetViews>
    <sheetView showGridLines="0" showRowColHeaders="0" topLeftCell="A2" zoomScale="84" zoomScaleNormal="100" workbookViewId="0">
      <pane xSplit="2" ySplit="3" topLeftCell="C5" activePane="bottomRight" state="frozenSplit"/>
      <selection activeCell="C25" sqref="C25:D25"/>
      <selection pane="topRight" activeCell="C25" sqref="C25:D25"/>
      <selection pane="bottomLeft" activeCell="C25" sqref="C25:D25"/>
      <selection pane="bottomRight" activeCell="D11" sqref="D11"/>
    </sheetView>
  </sheetViews>
  <sheetFormatPr baseColWidth="10" defaultColWidth="11.5" defaultRowHeight="14.25"/>
  <cols>
    <col min="1" max="1" width="11.5" style="70" customWidth="1"/>
    <col min="2" max="2" width="4.75" style="70" customWidth="1"/>
    <col min="3" max="3" width="35.875" style="70" customWidth="1"/>
    <col min="4" max="4" width="9.75" style="408" customWidth="1"/>
    <col min="5" max="5" width="7.5" style="169" hidden="1" customWidth="1"/>
    <col min="6" max="6" width="9.75" style="408" customWidth="1"/>
    <col min="7" max="7" width="7" style="169" hidden="1" customWidth="1"/>
    <col min="8" max="8" width="9.75" style="409" customWidth="1"/>
    <col min="9" max="9" width="7" style="70" hidden="1" customWidth="1"/>
    <col min="10" max="10" width="9.75" style="409" customWidth="1"/>
    <col min="11" max="11" width="7" style="70" hidden="1" customWidth="1"/>
    <col min="12" max="12" width="9.75" style="409" customWidth="1"/>
    <col min="13" max="13" width="7" style="70" hidden="1" customWidth="1"/>
    <col min="14" max="16384" width="11.5" style="70"/>
  </cols>
  <sheetData>
    <row r="1" spans="1:13" s="112" customFormat="1" ht="12.75" hidden="1">
      <c r="D1" s="387"/>
      <c r="E1" s="206"/>
      <c r="F1" s="387"/>
      <c r="G1" s="206"/>
      <c r="H1" s="388"/>
      <c r="J1" s="388"/>
      <c r="L1" s="388"/>
    </row>
    <row r="2" spans="1:13" s="112" customFormat="1" ht="15" customHeight="1">
      <c r="C2" s="551" t="str">
        <f>IF(Hauptübersicht!E13="","Bitte Firma unter 'Home' ergänzen",Hauptübersicht!E13)</f>
        <v>GitFit</v>
      </c>
      <c r="D2" s="552"/>
      <c r="E2" s="552"/>
      <c r="F2" s="552"/>
      <c r="G2" s="552"/>
      <c r="H2" s="552"/>
      <c r="I2" s="552"/>
      <c r="J2" s="552"/>
      <c r="K2" s="552"/>
      <c r="L2" s="553"/>
    </row>
    <row r="3" spans="1:13" s="112" customFormat="1" ht="15" customHeight="1">
      <c r="D3" s="387"/>
      <c r="E3" s="206"/>
      <c r="F3" s="387"/>
      <c r="G3" s="206"/>
      <c r="H3" s="388"/>
      <c r="J3" s="388"/>
      <c r="L3" s="388"/>
    </row>
    <row r="4" spans="1:13" s="112" customFormat="1" ht="27" customHeight="1">
      <c r="A4" s="172"/>
      <c r="C4" s="510" t="s">
        <v>113</v>
      </c>
      <c r="D4" s="510"/>
      <c r="E4" s="510"/>
      <c r="F4" s="510"/>
      <c r="G4" s="510"/>
      <c r="H4" s="389"/>
      <c r="I4" s="290"/>
      <c r="J4" s="389"/>
      <c r="K4" s="290"/>
      <c r="L4" s="389"/>
      <c r="M4" s="390"/>
    </row>
    <row r="5" spans="1:13" s="112" customFormat="1" ht="15">
      <c r="A5" s="99"/>
      <c r="D5" s="387"/>
      <c r="E5" s="206"/>
      <c r="F5" s="387"/>
      <c r="G5" s="206"/>
      <c r="H5" s="388"/>
      <c r="J5" s="388"/>
      <c r="L5" s="388"/>
    </row>
    <row r="6" spans="1:13" s="112" customFormat="1" ht="15.75" thickBot="1">
      <c r="A6" s="174"/>
      <c r="C6" s="102" t="s">
        <v>114</v>
      </c>
      <c r="D6" s="391"/>
      <c r="E6" s="104"/>
      <c r="F6" s="391"/>
      <c r="G6" s="104"/>
      <c r="H6" s="391"/>
      <c r="I6" s="104"/>
      <c r="J6" s="391"/>
      <c r="K6" s="392"/>
      <c r="L6" s="391"/>
      <c r="M6" s="393"/>
    </row>
    <row r="7" spans="1:13" s="112" customFormat="1" ht="13.5" thickBot="1">
      <c r="A7" s="280"/>
      <c r="C7" s="394"/>
      <c r="D7" s="459">
        <f>'Output Planerfolgsrechnung'!D7</f>
        <v>2017</v>
      </c>
      <c r="E7" s="316"/>
      <c r="F7" s="459">
        <f>'Output Planerfolgsrechnung'!F7</f>
        <v>2018</v>
      </c>
      <c r="G7" s="316"/>
      <c r="H7" s="459">
        <f>'Output Planerfolgsrechnung'!H7</f>
        <v>2019</v>
      </c>
      <c r="I7" s="317"/>
      <c r="J7" s="460">
        <f>'Output Planerfolgsrechnung'!J7</f>
        <v>2020</v>
      </c>
      <c r="K7" s="318"/>
      <c r="L7" s="459">
        <f>'Output Planerfolgsrechnung'!L7</f>
        <v>2021</v>
      </c>
      <c r="M7" s="395"/>
    </row>
    <row r="8" spans="1:13" s="112" customFormat="1" ht="13.5" thickBot="1">
      <c r="A8" s="280"/>
      <c r="C8" s="323" t="s">
        <v>115</v>
      </c>
      <c r="D8" s="396"/>
      <c r="E8" s="325"/>
      <c r="F8" s="396"/>
      <c r="G8" s="325"/>
      <c r="H8" s="396"/>
      <c r="I8" s="325"/>
      <c r="J8" s="396"/>
      <c r="K8" s="325"/>
      <c r="L8" s="396"/>
      <c r="M8" s="397"/>
    </row>
    <row r="9" spans="1:13" s="112" customFormat="1" ht="12.75">
      <c r="A9" s="280"/>
      <c r="C9" s="321" t="s">
        <v>120</v>
      </c>
      <c r="D9" s="398">
        <f>IF(('Output Planbilanz'!F22+'Output Planbilanz'!F23+'Output Planbilanz'!F24)=0,"N/A",('Output Planbilanz'!F8+'Output Planbilanz'!F9+'Output Planbilanz'!F10)/('Output Planbilanz'!F22+'Output Planbilanz'!F23+'Output Planbilanz'!F24))</f>
        <v>58189.000000000007</v>
      </c>
      <c r="E9" s="398">
        <f>IF(('Output Planbilanz'!E22+'Output Planbilanz'!E23+'Output Planbilanz'!E24)=0,0,('Output Planbilanz'!E8+'Output Planbilanz'!E9+'Output Planbilanz'!E10)/('Output Planbilanz'!E22+'Output Planbilanz'!E23+'Output Planbilanz'!E24))</f>
        <v>0</v>
      </c>
      <c r="F9" s="398">
        <f>IF(('Output Planbilanz'!H22+'Output Planbilanz'!H23+'Output Planbilanz'!H24)=0,"N/A",('Output Planbilanz'!H8+'Output Planbilanz'!H9+'Output Planbilanz'!H10)/('Output Planbilanz'!H22+'Output Planbilanz'!H23+'Output Planbilanz'!H24))</f>
        <v>2010.4857142857156</v>
      </c>
      <c r="G9" s="398">
        <f>IF(('Output Planbilanz'!G22+'Output Planbilanz'!G23+'Output Planbilanz'!G24)=0,0,('Output Planbilanz'!G8+'Output Planbilanz'!G9+'Output Planbilanz'!G10)/('Output Planbilanz'!G22+'Output Planbilanz'!G23+'Output Planbilanz'!G24))</f>
        <v>0</v>
      </c>
      <c r="H9" s="398">
        <f>IF(('Output Planbilanz'!J22+'Output Planbilanz'!J23+'Output Planbilanz'!J24)=0,"N/A",('Output Planbilanz'!J8+'Output Planbilanz'!J9+'Output Planbilanz'!J10)/('Output Planbilanz'!J22+'Output Planbilanz'!J23+'Output Planbilanz'!J24))</f>
        <v>285.88000000000034</v>
      </c>
      <c r="I9" s="398">
        <f>IF(('Output Planbilanz'!I22+'Output Planbilanz'!I23+'Output Planbilanz'!I24)=0,0,('Output Planbilanz'!I8+'Output Planbilanz'!I9+'Output Planbilanz'!I10)/('Output Planbilanz'!I22+'Output Planbilanz'!I23+'Output Planbilanz'!I24))</f>
        <v>0</v>
      </c>
      <c r="J9" s="398" t="str">
        <f>IF(('Output Planbilanz'!L22+'Output Planbilanz'!L23+'Output Planbilanz'!L24)=0,"N/A",('Output Planbilanz'!L8+'Output Planbilanz'!L9+'Output Planbilanz'!L10)/('Output Planbilanz'!L22+'Output Planbilanz'!L23+'Output Planbilanz'!L24))</f>
        <v>N/A</v>
      </c>
      <c r="K9" s="398">
        <f>IF(('Output Planbilanz'!K22+'Output Planbilanz'!K23+'Output Planbilanz'!K24)=0,0,('Output Planbilanz'!K8+'Output Planbilanz'!K9+'Output Planbilanz'!K10)/('Output Planbilanz'!K22+'Output Planbilanz'!K23+'Output Planbilanz'!K24))</f>
        <v>0</v>
      </c>
      <c r="L9" s="398" t="str">
        <f>IF(('Output Planbilanz'!N22+'Output Planbilanz'!N23+'Output Planbilanz'!N24)=0,"N/A",('Output Planbilanz'!N8+'Output Planbilanz'!N9+'Output Planbilanz'!N10)/('Output Planbilanz'!N22+'Output Planbilanz'!N23+'Output Planbilanz'!N24))</f>
        <v>N/A</v>
      </c>
      <c r="M9" s="399"/>
    </row>
    <row r="10" spans="1:13" s="112" customFormat="1" ht="12.75">
      <c r="A10" s="280"/>
      <c r="C10" s="326" t="s">
        <v>121</v>
      </c>
      <c r="D10" s="400">
        <f>IF(('Output Planbilanz'!F22+'Output Planbilanz'!F23+'Output Planbilanz'!F24)=0,"N/A",('Output Planbilanz'!F8+'Output Planbilanz'!F9+'Output Planbilanz'!F10+'Output Planbilanz'!F11)/('Output Planbilanz'!F22+'Output Planbilanz'!F23+'Output Planbilanz'!F24))</f>
        <v>58189.000000000007</v>
      </c>
      <c r="E10" s="400">
        <f>IF(('Output Planbilanz'!E22+'Output Planbilanz'!E23+'Output Planbilanz'!E24)=0,0,('Output Planbilanz'!E8+'Output Planbilanz'!E9+'Output Planbilanz'!E10+'Output Planbilanz'!E11)/('Output Planbilanz'!E22+'Output Planbilanz'!E23+'Output Planbilanz'!E24))</f>
        <v>0</v>
      </c>
      <c r="F10" s="400">
        <f>IF(('Output Planbilanz'!H22+'Output Planbilanz'!H23+'Output Planbilanz'!H24)=0,"N/A",('Output Planbilanz'!H8+'Output Planbilanz'!H9+'Output Planbilanz'!H10+'Output Planbilanz'!H11)/('Output Planbilanz'!H22+'Output Planbilanz'!H23+'Output Planbilanz'!H24))</f>
        <v>2010.4857142857156</v>
      </c>
      <c r="G10" s="400">
        <f>IF(('Output Planbilanz'!G22+'Output Planbilanz'!G23+'Output Planbilanz'!G24)=0,0,('Output Planbilanz'!G8+'Output Planbilanz'!G9+'Output Planbilanz'!G10+'Output Planbilanz'!G11)/('Output Planbilanz'!G22+'Output Planbilanz'!G23+'Output Planbilanz'!G24))</f>
        <v>0</v>
      </c>
      <c r="H10" s="400">
        <f>IF(('Output Planbilanz'!J22+'Output Planbilanz'!J23+'Output Planbilanz'!J24)=0,"N/A",('Output Planbilanz'!J8+'Output Planbilanz'!J9+'Output Planbilanz'!J10+'Output Planbilanz'!J11)/('Output Planbilanz'!J22+'Output Planbilanz'!J23+'Output Planbilanz'!J24))</f>
        <v>285.88000000000034</v>
      </c>
      <c r="I10" s="400">
        <f>IF(('Output Planbilanz'!I22+'Output Planbilanz'!I23+'Output Planbilanz'!I24)=0,0,('Output Planbilanz'!I8+'Output Planbilanz'!I9+'Output Planbilanz'!I10+'Output Planbilanz'!I11)/('Output Planbilanz'!I22+'Output Planbilanz'!I23+'Output Planbilanz'!I24))</f>
        <v>0</v>
      </c>
      <c r="J10" s="400" t="str">
        <f>IF(('Output Planbilanz'!L22+'Output Planbilanz'!L23+'Output Planbilanz'!L24)=0,"N/A",('Output Planbilanz'!L8+'Output Planbilanz'!L9+'Output Planbilanz'!L10+'Output Planbilanz'!L11)/('Output Planbilanz'!L22+'Output Planbilanz'!L23+'Output Planbilanz'!L24))</f>
        <v>N/A</v>
      </c>
      <c r="K10" s="400">
        <f>IF(('Output Planbilanz'!K22+'Output Planbilanz'!K23+'Output Planbilanz'!K24)=0,0,('Output Planbilanz'!K8+'Output Planbilanz'!K9+'Output Planbilanz'!K10+'Output Planbilanz'!K11)/('Output Planbilanz'!K22+'Output Planbilanz'!K23+'Output Planbilanz'!K24))</f>
        <v>0</v>
      </c>
      <c r="L10" s="400" t="str">
        <f>IF(('Output Planbilanz'!N22+'Output Planbilanz'!N23+'Output Planbilanz'!N24)=0,"N/A",('Output Planbilanz'!N8+'Output Planbilanz'!N9+'Output Planbilanz'!N10+'Output Planbilanz'!N11)/('Output Planbilanz'!N22+'Output Planbilanz'!N23+'Output Planbilanz'!N24))</f>
        <v>N/A</v>
      </c>
      <c r="M10" s="327"/>
    </row>
    <row r="11" spans="1:13" s="112" customFormat="1" ht="12.75">
      <c r="C11" s="326" t="s">
        <v>33</v>
      </c>
      <c r="D11" s="401">
        <f>'Input Eröffnungsbilanz'!K14</f>
        <v>45</v>
      </c>
      <c r="E11" s="402"/>
      <c r="F11" s="401">
        <f>'Input Eröffnungsbilanz'!M14</f>
        <v>45</v>
      </c>
      <c r="G11" s="401"/>
      <c r="H11" s="401">
        <f>'Input Eröffnungsbilanz'!O14</f>
        <v>45</v>
      </c>
      <c r="I11" s="401"/>
      <c r="J11" s="401">
        <f>'Input Eröffnungsbilanz'!Q14</f>
        <v>45</v>
      </c>
      <c r="K11" s="401"/>
      <c r="L11" s="401">
        <f>'Input Eröffnungsbilanz'!S14</f>
        <v>45</v>
      </c>
      <c r="M11" s="327"/>
    </row>
    <row r="12" spans="1:13" s="112" customFormat="1" ht="12.75">
      <c r="C12" s="326" t="s">
        <v>38</v>
      </c>
      <c r="D12" s="401">
        <f>'Input Eröffnungsbilanz'!K27</f>
        <v>30</v>
      </c>
      <c r="E12" s="402"/>
      <c r="F12" s="401">
        <f>'Input Eröffnungsbilanz'!M27</f>
        <v>30</v>
      </c>
      <c r="G12" s="401"/>
      <c r="H12" s="401">
        <f>'Input Eröffnungsbilanz'!O27</f>
        <v>30</v>
      </c>
      <c r="I12" s="401"/>
      <c r="J12" s="401">
        <f>'Input Eröffnungsbilanz'!Q27</f>
        <v>30</v>
      </c>
      <c r="K12" s="401"/>
      <c r="L12" s="401">
        <f>'Input Eröffnungsbilanz'!S27</f>
        <v>30</v>
      </c>
      <c r="M12" s="327"/>
    </row>
    <row r="13" spans="1:13" s="112" customFormat="1" ht="13.5" thickBot="1">
      <c r="C13" s="326" t="s">
        <v>35</v>
      </c>
      <c r="D13" s="403">
        <f>'Input Eröffnungsbilanz'!K16</f>
        <v>0</v>
      </c>
      <c r="E13" s="327"/>
      <c r="F13" s="403">
        <f>'Input Eröffnungsbilanz'!M16</f>
        <v>0</v>
      </c>
      <c r="G13" s="403"/>
      <c r="H13" s="403">
        <f>'Input Eröffnungsbilanz'!O16</f>
        <v>0</v>
      </c>
      <c r="I13" s="403"/>
      <c r="J13" s="403">
        <f>'Input Eröffnungsbilanz'!Q16</f>
        <v>0</v>
      </c>
      <c r="K13" s="403"/>
      <c r="L13" s="403">
        <f>'Input Eröffnungsbilanz'!S16</f>
        <v>0</v>
      </c>
      <c r="M13" s="327"/>
    </row>
    <row r="14" spans="1:13" s="112" customFormat="1" ht="13.5" hidden="1" thickBot="1">
      <c r="C14" s="321"/>
      <c r="D14" s="404"/>
      <c r="E14" s="322"/>
      <c r="F14" s="404"/>
      <c r="G14" s="404"/>
      <c r="H14" s="404"/>
      <c r="I14" s="404"/>
      <c r="J14" s="404"/>
      <c r="K14" s="404"/>
      <c r="L14" s="404"/>
      <c r="M14" s="322"/>
    </row>
    <row r="15" spans="1:13" s="112" customFormat="1" ht="13.5" thickBot="1">
      <c r="C15" s="323" t="s">
        <v>116</v>
      </c>
      <c r="D15" s="396"/>
      <c r="E15" s="325"/>
      <c r="F15" s="396"/>
      <c r="G15" s="396"/>
      <c r="H15" s="396"/>
      <c r="I15" s="396"/>
      <c r="J15" s="396"/>
      <c r="K15" s="396"/>
      <c r="L15" s="405"/>
      <c r="M15" s="397"/>
    </row>
    <row r="16" spans="1:13" s="112" customFormat="1" ht="12.75">
      <c r="C16" s="321" t="s">
        <v>122</v>
      </c>
      <c r="D16" s="398">
        <f>IF((0.5*'Output Planbilanz'!D33+0.5*'Output Planbilanz'!F33)=0,0,'Output Planerfolgsrechnung'!D26/(0.5*'Output Planbilanz'!D33+0.5*'Output Planbilanz'!F33))</f>
        <v>-6.4548721200591839</v>
      </c>
      <c r="E16" s="328"/>
      <c r="F16" s="398">
        <f>IF((0.5*'Output Planbilanz'!F33+0.5*'Output Planbilanz'!H33)=0,0,'Output Planerfolgsrechnung'!F26/(0.5*'Output Planbilanz'!F33+0.5*'Output Planbilanz'!H33))</f>
        <v>1.1260392693495884</v>
      </c>
      <c r="G16" s="398"/>
      <c r="H16" s="398">
        <f>IF((0.5*'Output Planbilanz'!H33+0.5*'Output Planbilanz'!J33)=0,0,'Output Planerfolgsrechnung'!H26/(0.5*'Output Planbilanz'!H33+0.5*'Output Planbilanz'!J33))</f>
        <v>0.12870635836715444</v>
      </c>
      <c r="I16" s="398"/>
      <c r="J16" s="398">
        <f>IF((0.5*'Output Planbilanz'!J33+0.5*'Output Planbilanz'!L33)=0,0,'Output Planerfolgsrechnung'!J26/(0.5*'Output Planbilanz'!J33+0.5*'Output Planbilanz'!L33))</f>
        <v>0</v>
      </c>
      <c r="K16" s="398"/>
      <c r="L16" s="398">
        <f>IF((0.5*'Output Planbilanz'!L33+0.5*'Output Planbilanz'!N33)=0,0,'Output Planerfolgsrechnung'!L26/(0.5*'Output Planbilanz'!L33+0.5*'Output Planbilanz'!N33))</f>
        <v>0</v>
      </c>
      <c r="M16" s="327"/>
    </row>
    <row r="17" spans="3:13" s="112" customFormat="1" ht="12.75">
      <c r="C17" s="326" t="s">
        <v>118</v>
      </c>
      <c r="D17" s="401" t="str">
        <f>IF('Output Planerfolgsrechnung'!D15=0,0,IF(('Output Planbilanz'!F27+'Output Planbilanz'!F23-'Output Planbilanz'!F8)/'Output Planerfolgsrechnung'!D15&gt;0,('Output Planbilanz'!F27+'Output Planbilanz'!F23-'Output Planbilanz'!F8)/'Output Planerfolgsrechnung'!D15,"N/A"))</f>
        <v>N/A</v>
      </c>
      <c r="E17" s="402"/>
      <c r="F17" s="401" t="str">
        <f>IF('Output Planerfolgsrechnung'!F15=0,0,IF(('Output Planbilanz'!H27+'Output Planbilanz'!H23-'Output Planbilanz'!H8)/'Output Planerfolgsrechnung'!F15&gt;0,('Output Planbilanz'!H27+'Output Planbilanz'!H23-'Output Planbilanz'!H8)/'Output Planerfolgsrechnung'!F15,"N/V"))</f>
        <v>N/V</v>
      </c>
      <c r="G17" s="401"/>
      <c r="H17" s="401" t="str">
        <f>IF('Output Planerfolgsrechnung'!H15=0,0,IF(('Output Planbilanz'!J27+'Output Planbilanz'!J23-'Output Planbilanz'!J8)/'Output Planerfolgsrechnung'!H15&gt;0,('Output Planbilanz'!J27+'Output Planbilanz'!J23-'Output Planbilanz'!J8)/'Output Planerfolgsrechnung'!H15,"N/V"))</f>
        <v>N/V</v>
      </c>
      <c r="I17" s="401"/>
      <c r="J17" s="401">
        <f>IF('Output Planerfolgsrechnung'!J15=0,0,IF(('Output Planbilanz'!L27+'Output Planbilanz'!L23-'Output Planbilanz'!L8)/'Output Planerfolgsrechnung'!J15&gt;0,('Output Planbilanz'!L27+'Output Planbilanz'!L23-'Output Planbilanz'!L8)/'Output Planerfolgsrechnung'!J15,"N/V"))</f>
        <v>0</v>
      </c>
      <c r="K17" s="401"/>
      <c r="L17" s="401">
        <f>IF('Output Planerfolgsrechnung'!L15=0,0,IF(('Output Planbilanz'!N27+'Output Planbilanz'!N23-'Output Planbilanz'!N8)/'Output Planerfolgsrechnung'!L15&gt;0,('Output Planbilanz'!N27+'Output Planbilanz'!N23-'Output Planbilanz'!N8)/'Output Planerfolgsrechnung'!L15,"N/V"))</f>
        <v>0</v>
      </c>
      <c r="M17" s="327"/>
    </row>
    <row r="18" spans="3:13" s="112" customFormat="1" ht="12.75">
      <c r="C18" s="326" t="s">
        <v>123</v>
      </c>
      <c r="D18" s="400">
        <f>IF(-('Output Mittelflussrechnung'!D19+'Output Mittelflussrechnung'!D20+'Output Mittelflussrechnung'!D21)=0,"N/A",'Output Mittelflussrechnung'!D12/-('Output Mittelflussrechnung'!D19+'Output Mittelflussrechnung'!D20+'Output Mittelflussrechnung'!D21))</f>
        <v>-30.207999999999998</v>
      </c>
      <c r="E18" s="327"/>
      <c r="F18" s="400">
        <f>IF(-('Output Mittelflussrechnung'!F19+'Output Mittelflussrechnung'!F20+'Output Mittelflussrechnung'!F21)=0,"N/A",'Output Mittelflussrechnung'!F12/-('Output Mittelflussrechnung'!F19+'Output Mittelflussrechnung'!F20+'Output Mittelflussrechnung'!F21))</f>
        <v>-53.139999999999986</v>
      </c>
      <c r="G18" s="400"/>
      <c r="H18" s="400">
        <f>IF(-('Output Mittelflussrechnung'!H19+'Output Mittelflussrechnung'!H20+'Output Mittelflussrechnung'!H21)=0,"N/A",'Output Mittelflussrechnung'!H12/-('Output Mittelflussrechnung'!H19+'Output Mittelflussrechnung'!H20+'Output Mittelflussrechnung'!H21))</f>
        <v>-14.333333333333334</v>
      </c>
      <c r="I18" s="400"/>
      <c r="J18" s="400" t="str">
        <f>IF(-('Output Mittelflussrechnung'!J19+'Output Mittelflussrechnung'!J20+'Output Mittelflussrechnung'!J21)=0,"N/A",'Output Mittelflussrechnung'!J12/-('Output Mittelflussrechnung'!J19+'Output Mittelflussrechnung'!J20+'Output Mittelflussrechnung'!J21))</f>
        <v>N/A</v>
      </c>
      <c r="K18" s="400"/>
      <c r="L18" s="400" t="str">
        <f>IF(-('Output Mittelflussrechnung'!L19+'Output Mittelflussrechnung'!L20+'Output Mittelflussrechnung'!L21)=0,"N/A",'Output Mittelflussrechnung'!L12/-('Output Mittelflussrechnung'!L19+'Output Mittelflussrechnung'!L20+'Output Mittelflussrechnung'!L21))</f>
        <v>N/A</v>
      </c>
      <c r="M18" s="327"/>
    </row>
    <row r="19" spans="3:13" s="112" customFormat="1" ht="12.75">
      <c r="C19" s="326" t="s">
        <v>124</v>
      </c>
      <c r="D19" s="400">
        <f>IF('Output Planerfolgsrechnung'!D8=0,0,'Output Planerfolgsrechnung'!D15/'Output Planerfolgsrechnung'!D8)</f>
        <v>-37.76</v>
      </c>
      <c r="E19" s="327"/>
      <c r="F19" s="400">
        <f>IF('Output Planerfolgsrechnung'!F8=0,0,'Output Planerfolgsrechnung'!F15/'Output Planerfolgsrechnung'!F8)</f>
        <v>-3.4385714285714286</v>
      </c>
      <c r="G19" s="400"/>
      <c r="H19" s="400">
        <f>IF('Output Planerfolgsrechnung'!H8=0,0,'Output Planerfolgsrechnung'!H15/'Output Planerfolgsrechnung'!H8)</f>
        <v>-0.06</v>
      </c>
      <c r="I19" s="400"/>
      <c r="J19" s="400">
        <f>IF('Output Planerfolgsrechnung'!J8=0,0,'Output Planerfolgsrechnung'!J15/'Output Planerfolgsrechnung'!J8)</f>
        <v>0</v>
      </c>
      <c r="K19" s="400"/>
      <c r="L19" s="400">
        <f>IF('Output Planerfolgsrechnung'!L8=0,0,'Output Planerfolgsrechnung'!L15/'Output Planerfolgsrechnung'!L8)</f>
        <v>0</v>
      </c>
      <c r="M19" s="327"/>
    </row>
    <row r="20" spans="3:13" s="112" customFormat="1" ht="13.5" thickBot="1">
      <c r="C20" s="326" t="s">
        <v>119</v>
      </c>
      <c r="D20" s="403" t="str">
        <f>IF('Output Planerfolgsrechnung'!D20&gt;0,'Output Planerfolgsrechnung'!D15/'Output Planerfolgsrechnung'!D20,"N/A")</f>
        <v>N/A</v>
      </c>
      <c r="E20" s="327"/>
      <c r="F20" s="403">
        <f>IF('Output Planerfolgsrechnung'!F20&gt;0,'Output Planerfolgsrechnung'!F15/'Output Planerfolgsrechnung'!F20,"N/A")</f>
        <v>-9.6280000000000001</v>
      </c>
      <c r="G20" s="403"/>
      <c r="H20" s="403">
        <f>IF('Output Planerfolgsrechnung'!H20&gt;0,'Output Planerfolgsrechnung'!H15/'Output Planerfolgsrechnung'!H20,"N/A")</f>
        <v>-0.72</v>
      </c>
      <c r="I20" s="403"/>
      <c r="J20" s="403" t="str">
        <f>IF('Output Planerfolgsrechnung'!J20&gt;0,'Output Planerfolgsrechnung'!J15/'Output Planerfolgsrechnung'!J20,"N/A")</f>
        <v>N/A</v>
      </c>
      <c r="K20" s="403"/>
      <c r="L20" s="403" t="str">
        <f>IF('Output Planerfolgsrechnung'!L20&gt;0,'Output Planerfolgsrechnung'!L15/'Output Planerfolgsrechnung'!L20,"N/A")</f>
        <v>N/A</v>
      </c>
      <c r="M20" s="327"/>
    </row>
    <row r="21" spans="3:13" s="112" customFormat="1" ht="13.5" hidden="1" thickBot="1">
      <c r="C21" s="329"/>
      <c r="D21" s="406"/>
      <c r="E21" s="330"/>
      <c r="F21" s="406"/>
      <c r="G21" s="406"/>
      <c r="H21" s="406"/>
      <c r="I21" s="406"/>
      <c r="J21" s="406"/>
      <c r="K21" s="406"/>
      <c r="L21" s="406"/>
      <c r="M21" s="327"/>
    </row>
    <row r="22" spans="3:13" s="112" customFormat="1" ht="13.5" thickBot="1">
      <c r="C22" s="323" t="s">
        <v>117</v>
      </c>
      <c r="D22" s="396"/>
      <c r="E22" s="325"/>
      <c r="F22" s="396"/>
      <c r="G22" s="396"/>
      <c r="H22" s="396"/>
      <c r="I22" s="396"/>
      <c r="J22" s="396"/>
      <c r="K22" s="396"/>
      <c r="L22" s="405"/>
      <c r="M22" s="397"/>
    </row>
    <row r="23" spans="3:13" s="112" customFormat="1" ht="12.75">
      <c r="C23" s="343" t="s">
        <v>125</v>
      </c>
      <c r="D23" s="398">
        <f>IF('Output Planbilanz'!F17=0,0,('Output Planbilanz'!F33+'Output Planbilanz'!F29)/'Output Planbilanz'!F17)</f>
        <v>58.898507462686574</v>
      </c>
      <c r="E23" s="328"/>
      <c r="F23" s="398">
        <f>IF('Output Planbilanz'!H17=0,0,('Output Planbilanz'!H33+'Output Planbilanz'!H29)/'Output Planbilanz'!H17)</f>
        <v>21.037606837606848</v>
      </c>
      <c r="G23" s="398"/>
      <c r="H23" s="398">
        <f>IF('Output Planbilanz'!J17=0,0,('Output Planbilanz'!J33+'Output Planbilanz'!J29)/'Output Planbilanz'!J17)</f>
        <v>0</v>
      </c>
      <c r="I23" s="398"/>
      <c r="J23" s="398">
        <f>IF('Output Planbilanz'!L17=0,0,('Output Planbilanz'!L33+'Output Planbilanz'!L29)/'Output Planbilanz'!L17)</f>
        <v>0</v>
      </c>
      <c r="K23" s="398"/>
      <c r="L23" s="398">
        <f>IF('Output Planbilanz'!N17=0,0,('Output Planbilanz'!N33+'Output Planbilanz'!N29)/'Output Planbilanz'!N17)</f>
        <v>0</v>
      </c>
      <c r="M23" s="327"/>
    </row>
    <row r="24" spans="3:13" s="112" customFormat="1" ht="12.75">
      <c r="C24" s="326" t="s">
        <v>126</v>
      </c>
      <c r="D24" s="400">
        <f>'Output Planbilanz'!G33</f>
        <v>-0.26703719971618745</v>
      </c>
      <c r="E24" s="327"/>
      <c r="F24" s="400">
        <f>'Output Planbilanz'!I33</f>
        <v>-3.0612775288655443</v>
      </c>
      <c r="G24" s="400"/>
      <c r="H24" s="400">
        <f>'Output Planbilanz'!K33</f>
        <v>-5.9994403246117178</v>
      </c>
      <c r="I24" s="400"/>
      <c r="J24" s="400">
        <f>'Output Planbilanz'!M33</f>
        <v>-6.0204998595899957</v>
      </c>
      <c r="K24" s="400"/>
      <c r="L24" s="400">
        <f>'Output Planbilanz'!O33</f>
        <v>-6.0204998595899957</v>
      </c>
      <c r="M24" s="327"/>
    </row>
    <row r="25" spans="3:13" s="112" customFormat="1" ht="12.75" hidden="1">
      <c r="C25" s="326"/>
      <c r="D25" s="403"/>
      <c r="E25" s="327"/>
      <c r="F25" s="403"/>
      <c r="G25" s="327"/>
      <c r="H25" s="403"/>
      <c r="I25" s="327"/>
      <c r="J25" s="403"/>
      <c r="K25" s="327"/>
      <c r="L25" s="403"/>
      <c r="M25" s="327"/>
    </row>
    <row r="26" spans="3:13" s="112" customFormat="1" ht="12.75">
      <c r="D26" s="387"/>
      <c r="E26" s="206"/>
      <c r="F26" s="387"/>
      <c r="G26" s="206"/>
      <c r="H26" s="388"/>
      <c r="J26" s="388"/>
      <c r="L26" s="388"/>
    </row>
    <row r="27" spans="3:13" s="112" customFormat="1" ht="12.75">
      <c r="C27" s="311"/>
      <c r="D27" s="407">
        <f>'Output Planerfolgsrechnung'!D8</f>
        <v>8</v>
      </c>
      <c r="E27" s="313"/>
      <c r="F27" s="407">
        <f>'Output Planerfolgsrechnung'!F8</f>
        <v>70</v>
      </c>
      <c r="G27" s="407">
        <f>'Output Planerfolgsrechnung'!G8</f>
        <v>1</v>
      </c>
      <c r="H27" s="407">
        <f>'Output Planerfolgsrechnung'!H8</f>
        <v>300</v>
      </c>
      <c r="I27" s="407">
        <f>'Output Planerfolgsrechnung'!I8</f>
        <v>1</v>
      </c>
      <c r="J27" s="407">
        <f>'Output Planerfolgsrechnung'!J8</f>
        <v>0</v>
      </c>
      <c r="K27" s="407" t="str">
        <f>'Output Planerfolgsrechnung'!K8</f>
        <v/>
      </c>
      <c r="L27" s="407">
        <f>'Output Planerfolgsrechnung'!L8</f>
        <v>0</v>
      </c>
    </row>
    <row r="28" spans="3:13" s="112" customFormat="1" ht="12.75">
      <c r="D28" s="387"/>
      <c r="E28" s="206"/>
      <c r="F28" s="387"/>
      <c r="G28" s="206"/>
      <c r="H28" s="388"/>
      <c r="J28" s="388"/>
      <c r="L28" s="388"/>
    </row>
    <row r="29" spans="3:13" s="112" customFormat="1" ht="12.75">
      <c r="D29" s="387"/>
      <c r="E29" s="206"/>
      <c r="F29" s="387"/>
      <c r="G29" s="206"/>
      <c r="H29" s="388"/>
      <c r="J29" s="388"/>
      <c r="L29" s="388"/>
    </row>
    <row r="30" spans="3:13" s="112" customFormat="1" ht="12.75">
      <c r="D30" s="387"/>
      <c r="E30" s="206"/>
      <c r="F30" s="387"/>
      <c r="G30" s="206"/>
      <c r="H30" s="388"/>
      <c r="J30" s="388"/>
      <c r="L30" s="388"/>
    </row>
    <row r="31" spans="3:13" s="112" customFormat="1" ht="12.75">
      <c r="D31" s="387"/>
      <c r="E31" s="206"/>
      <c r="F31" s="387"/>
      <c r="G31" s="206"/>
      <c r="H31" s="388"/>
      <c r="J31" s="388"/>
      <c r="L31" s="388"/>
    </row>
    <row r="32" spans="3:13" s="112" customFormat="1" ht="12.75">
      <c r="D32" s="387"/>
      <c r="E32" s="206"/>
      <c r="F32" s="387"/>
      <c r="G32" s="206"/>
      <c r="H32" s="388"/>
      <c r="J32" s="388"/>
      <c r="L32" s="388"/>
    </row>
    <row r="33" spans="4:12" s="112" customFormat="1" ht="12.75">
      <c r="D33" s="387"/>
      <c r="E33" s="206"/>
      <c r="F33" s="387"/>
      <c r="G33" s="206"/>
      <c r="H33" s="388"/>
      <c r="J33" s="388"/>
      <c r="L33" s="388"/>
    </row>
    <row r="34" spans="4:12" s="112" customFormat="1" ht="12.75">
      <c r="D34" s="387"/>
      <c r="E34" s="206"/>
      <c r="F34" s="387"/>
      <c r="G34" s="206"/>
      <c r="H34" s="388"/>
      <c r="J34" s="388"/>
      <c r="L34" s="388"/>
    </row>
    <row r="35" spans="4:12" s="112" customFormat="1" ht="12.75">
      <c r="D35" s="387"/>
      <c r="E35" s="206"/>
      <c r="F35" s="387"/>
      <c r="G35" s="206"/>
      <c r="H35" s="388"/>
      <c r="J35" s="388"/>
      <c r="L35" s="388"/>
    </row>
    <row r="36" spans="4:12" s="112" customFormat="1" ht="12.75">
      <c r="D36" s="387"/>
      <c r="E36" s="206"/>
      <c r="F36" s="387"/>
      <c r="G36" s="206"/>
      <c r="H36" s="388"/>
      <c r="J36" s="388"/>
      <c r="L36" s="388"/>
    </row>
    <row r="37" spans="4:12" s="112" customFormat="1" ht="12.75">
      <c r="D37" s="387"/>
      <c r="E37" s="206"/>
      <c r="F37" s="387"/>
      <c r="G37" s="206"/>
      <c r="H37" s="388"/>
      <c r="J37" s="388"/>
      <c r="L37" s="388"/>
    </row>
    <row r="38" spans="4:12" s="112" customFormat="1" ht="12.75">
      <c r="D38" s="387"/>
      <c r="E38" s="206"/>
      <c r="F38" s="387"/>
      <c r="G38" s="206"/>
      <c r="H38" s="388"/>
      <c r="J38" s="388"/>
      <c r="L38" s="388"/>
    </row>
    <row r="39" spans="4:12" s="112" customFormat="1" ht="12.75">
      <c r="D39" s="387"/>
      <c r="E39" s="206"/>
      <c r="F39" s="387"/>
      <c r="G39" s="206"/>
      <c r="H39" s="388"/>
      <c r="J39" s="388"/>
      <c r="L39" s="388"/>
    </row>
    <row r="40" spans="4:12" s="112" customFormat="1" ht="12.75">
      <c r="D40" s="387"/>
      <c r="E40" s="206"/>
      <c r="F40" s="387"/>
      <c r="G40" s="206"/>
      <c r="H40" s="388"/>
      <c r="J40" s="388"/>
      <c r="L40" s="388"/>
    </row>
    <row r="41" spans="4:12" s="112" customFormat="1" ht="12.75">
      <c r="D41" s="387"/>
      <c r="E41" s="206"/>
      <c r="F41" s="387"/>
      <c r="G41" s="206"/>
      <c r="H41" s="388"/>
      <c r="J41" s="388"/>
      <c r="L41" s="388"/>
    </row>
    <row r="42" spans="4:12" s="112" customFormat="1" ht="12.75">
      <c r="D42" s="387"/>
      <c r="E42" s="206"/>
      <c r="F42" s="387"/>
      <c r="G42" s="206"/>
      <c r="H42" s="388"/>
      <c r="J42" s="388"/>
      <c r="L42" s="388"/>
    </row>
    <row r="43" spans="4:12" s="112" customFormat="1" ht="12.75">
      <c r="D43" s="387"/>
      <c r="E43" s="206"/>
      <c r="F43" s="387"/>
      <c r="G43" s="206"/>
      <c r="H43" s="388"/>
      <c r="J43" s="388"/>
      <c r="L43" s="388"/>
    </row>
    <row r="44" spans="4:12" s="112" customFormat="1" ht="12.75">
      <c r="D44" s="387"/>
      <c r="E44" s="206"/>
      <c r="F44" s="387"/>
      <c r="G44" s="206"/>
      <c r="H44" s="388"/>
      <c r="J44" s="388"/>
      <c r="L44" s="388"/>
    </row>
    <row r="45" spans="4:12" s="112" customFormat="1" ht="12.75">
      <c r="D45" s="387"/>
      <c r="E45" s="206"/>
      <c r="F45" s="387"/>
      <c r="G45" s="206"/>
      <c r="H45" s="388"/>
      <c r="J45" s="388"/>
      <c r="L45" s="388"/>
    </row>
    <row r="46" spans="4:12" s="112" customFormat="1" ht="12.75">
      <c r="D46" s="387"/>
      <c r="E46" s="206"/>
      <c r="F46" s="387"/>
      <c r="G46" s="206"/>
      <c r="H46" s="388"/>
      <c r="J46" s="388"/>
      <c r="L46" s="388"/>
    </row>
    <row r="47" spans="4:12" s="112" customFormat="1" ht="12.75">
      <c r="D47" s="387"/>
      <c r="E47" s="206"/>
      <c r="F47" s="387"/>
      <c r="G47" s="206"/>
      <c r="H47" s="388"/>
      <c r="J47" s="388"/>
      <c r="L47" s="388"/>
    </row>
    <row r="48" spans="4:12" s="112" customFormat="1" ht="12.75">
      <c r="D48" s="387"/>
      <c r="E48" s="206"/>
      <c r="F48" s="387"/>
      <c r="G48" s="206"/>
      <c r="H48" s="388"/>
      <c r="J48" s="388"/>
      <c r="L48" s="388"/>
    </row>
    <row r="49" spans="4:12" s="112" customFormat="1" ht="12.75">
      <c r="D49" s="387"/>
      <c r="E49" s="206"/>
      <c r="F49" s="387"/>
      <c r="G49" s="206"/>
      <c r="H49" s="388"/>
      <c r="J49" s="388"/>
      <c r="L49" s="388"/>
    </row>
    <row r="50" spans="4:12" s="112" customFormat="1" ht="12.75">
      <c r="D50" s="387"/>
      <c r="E50" s="206"/>
      <c r="F50" s="387"/>
      <c r="G50" s="206"/>
      <c r="H50" s="388"/>
      <c r="J50" s="388"/>
      <c r="L50" s="388"/>
    </row>
    <row r="51" spans="4:12" s="112" customFormat="1" ht="12.75">
      <c r="D51" s="387"/>
      <c r="E51" s="206"/>
      <c r="F51" s="387"/>
      <c r="G51" s="206"/>
      <c r="H51" s="388"/>
      <c r="J51" s="388"/>
      <c r="L51" s="388"/>
    </row>
    <row r="52" spans="4:12" s="112" customFormat="1" ht="12.75">
      <c r="D52" s="387"/>
      <c r="E52" s="206"/>
      <c r="F52" s="387"/>
      <c r="G52" s="206"/>
      <c r="H52" s="388"/>
      <c r="J52" s="388"/>
      <c r="L52" s="388"/>
    </row>
    <row r="53" spans="4:12" s="112" customFormat="1" ht="12.75">
      <c r="D53" s="387"/>
      <c r="E53" s="206"/>
      <c r="F53" s="387"/>
      <c r="G53" s="206"/>
      <c r="H53" s="388"/>
      <c r="J53" s="388"/>
      <c r="L53" s="388"/>
    </row>
    <row r="54" spans="4:12" s="112" customFormat="1" ht="12.75">
      <c r="D54" s="387"/>
      <c r="E54" s="206"/>
      <c r="F54" s="387"/>
      <c r="G54" s="206"/>
      <c r="H54" s="388"/>
      <c r="J54" s="388"/>
      <c r="L54" s="388"/>
    </row>
    <row r="55" spans="4:12" s="112" customFormat="1" ht="12.75">
      <c r="D55" s="387"/>
      <c r="E55" s="206"/>
      <c r="F55" s="387"/>
      <c r="G55" s="206"/>
      <c r="H55" s="388"/>
      <c r="J55" s="388"/>
      <c r="L55" s="388"/>
    </row>
    <row r="56" spans="4:12" s="112" customFormat="1" ht="12.75">
      <c r="D56" s="387"/>
      <c r="E56" s="206"/>
      <c r="F56" s="387"/>
      <c r="G56" s="206"/>
      <c r="H56" s="388"/>
      <c r="J56" s="388"/>
      <c r="L56" s="388"/>
    </row>
    <row r="57" spans="4:12" s="112" customFormat="1" ht="12.75">
      <c r="D57" s="387"/>
      <c r="E57" s="206"/>
      <c r="F57" s="387"/>
      <c r="G57" s="206"/>
      <c r="H57" s="388"/>
      <c r="J57" s="388"/>
      <c r="L57" s="388"/>
    </row>
    <row r="58" spans="4:12" s="112" customFormat="1" ht="12.75">
      <c r="D58" s="387"/>
      <c r="E58" s="206"/>
      <c r="F58" s="387"/>
      <c r="G58" s="206"/>
      <c r="H58" s="388"/>
      <c r="J58" s="388"/>
      <c r="L58" s="388"/>
    </row>
    <row r="59" spans="4:12" s="112" customFormat="1" ht="12.75">
      <c r="D59" s="387"/>
      <c r="E59" s="206"/>
      <c r="F59" s="387"/>
      <c r="G59" s="206"/>
      <c r="H59" s="388"/>
      <c r="J59" s="388"/>
      <c r="L59" s="388"/>
    </row>
    <row r="60" spans="4:12" s="112" customFormat="1" ht="12.75">
      <c r="D60" s="387"/>
      <c r="E60" s="206"/>
      <c r="F60" s="387"/>
      <c r="G60" s="206"/>
      <c r="H60" s="388"/>
      <c r="J60" s="388"/>
      <c r="L60" s="388"/>
    </row>
    <row r="61" spans="4:12" s="112" customFormat="1" ht="12.75">
      <c r="D61" s="387"/>
      <c r="E61" s="206"/>
      <c r="F61" s="387"/>
      <c r="G61" s="206"/>
      <c r="H61" s="388"/>
      <c r="J61" s="388"/>
      <c r="L61" s="388"/>
    </row>
    <row r="62" spans="4:12" s="112" customFormat="1" ht="12.75">
      <c r="D62" s="387"/>
      <c r="E62" s="206"/>
      <c r="F62" s="387"/>
      <c r="G62" s="206"/>
      <c r="H62" s="388"/>
      <c r="J62" s="388"/>
      <c r="L62" s="388"/>
    </row>
    <row r="63" spans="4:12" s="112" customFormat="1" ht="12.75">
      <c r="D63" s="387"/>
      <c r="E63" s="206"/>
      <c r="F63" s="387"/>
      <c r="G63" s="206"/>
      <c r="H63" s="388"/>
      <c r="J63" s="388"/>
      <c r="L63" s="388"/>
    </row>
    <row r="64" spans="4:12" s="112" customFormat="1" ht="12.75">
      <c r="D64" s="387"/>
      <c r="E64" s="206"/>
      <c r="F64" s="387"/>
      <c r="G64" s="206"/>
      <c r="H64" s="388"/>
      <c r="J64" s="388"/>
      <c r="L64" s="388"/>
    </row>
    <row r="65" spans="4:12" s="112" customFormat="1" ht="12.75">
      <c r="D65" s="387"/>
      <c r="E65" s="206"/>
      <c r="F65" s="387"/>
      <c r="G65" s="206"/>
      <c r="H65" s="388"/>
      <c r="J65" s="388"/>
      <c r="L65" s="388"/>
    </row>
    <row r="66" spans="4:12" s="112" customFormat="1" ht="12.75">
      <c r="D66" s="387"/>
      <c r="E66" s="206"/>
      <c r="F66" s="387"/>
      <c r="G66" s="206"/>
      <c r="H66" s="388"/>
      <c r="J66" s="388"/>
      <c r="L66" s="388"/>
    </row>
    <row r="67" spans="4:12" s="112" customFormat="1" ht="12.75">
      <c r="D67" s="387"/>
      <c r="E67" s="206"/>
      <c r="F67" s="387"/>
      <c r="G67" s="206"/>
      <c r="H67" s="388"/>
      <c r="J67" s="388"/>
      <c r="L67" s="388"/>
    </row>
    <row r="68" spans="4:12" s="112" customFormat="1" ht="12.75">
      <c r="D68" s="387"/>
      <c r="E68" s="206"/>
      <c r="F68" s="387"/>
      <c r="G68" s="206"/>
      <c r="H68" s="388"/>
      <c r="J68" s="388"/>
      <c r="L68" s="388"/>
    </row>
    <row r="69" spans="4:12" s="112" customFormat="1" ht="12.75">
      <c r="D69" s="387"/>
      <c r="E69" s="206"/>
      <c r="F69" s="387"/>
      <c r="G69" s="206"/>
      <c r="H69" s="388"/>
      <c r="J69" s="388"/>
      <c r="L69" s="388"/>
    </row>
    <row r="70" spans="4:12" s="112" customFormat="1" ht="12.75">
      <c r="D70" s="387"/>
      <c r="E70" s="206"/>
      <c r="F70" s="387"/>
      <c r="G70" s="206"/>
      <c r="H70" s="388"/>
      <c r="J70" s="388"/>
      <c r="L70" s="388"/>
    </row>
    <row r="71" spans="4:12" s="112" customFormat="1" ht="12.75">
      <c r="D71" s="387"/>
      <c r="E71" s="206"/>
      <c r="F71" s="387"/>
      <c r="G71" s="206"/>
      <c r="H71" s="388"/>
      <c r="J71" s="388"/>
      <c r="L71" s="388"/>
    </row>
    <row r="72" spans="4:12" s="112" customFormat="1" ht="12.75">
      <c r="D72" s="387"/>
      <c r="E72" s="206"/>
      <c r="F72" s="387"/>
      <c r="G72" s="206"/>
      <c r="H72" s="388"/>
      <c r="J72" s="388"/>
      <c r="L72" s="388"/>
    </row>
    <row r="73" spans="4:12" s="112" customFormat="1" ht="12.75">
      <c r="D73" s="387"/>
      <c r="E73" s="206"/>
      <c r="F73" s="387"/>
      <c r="G73" s="206"/>
      <c r="H73" s="388"/>
      <c r="J73" s="388"/>
      <c r="L73" s="388"/>
    </row>
    <row r="74" spans="4:12" s="112" customFormat="1" ht="12.75">
      <c r="D74" s="387"/>
      <c r="E74" s="206"/>
      <c r="F74" s="387"/>
      <c r="G74" s="206"/>
      <c r="H74" s="388"/>
      <c r="J74" s="388"/>
      <c r="L74" s="388"/>
    </row>
    <row r="75" spans="4:12" s="112" customFormat="1" ht="12.75">
      <c r="D75" s="387"/>
      <c r="E75" s="206"/>
      <c r="F75" s="387"/>
      <c r="G75" s="206"/>
      <c r="H75" s="388"/>
      <c r="J75" s="388"/>
      <c r="L75" s="388"/>
    </row>
    <row r="76" spans="4:12" s="112" customFormat="1" ht="12.75">
      <c r="D76" s="387"/>
      <c r="E76" s="206"/>
      <c r="F76" s="387"/>
      <c r="G76" s="206"/>
      <c r="H76" s="388"/>
      <c r="J76" s="388"/>
      <c r="L76" s="388"/>
    </row>
    <row r="77" spans="4:12" s="112" customFormat="1" ht="12.75">
      <c r="D77" s="387"/>
      <c r="E77" s="206"/>
      <c r="F77" s="387"/>
      <c r="G77" s="206"/>
      <c r="H77" s="388"/>
      <c r="J77" s="388"/>
      <c r="L77" s="388"/>
    </row>
    <row r="78" spans="4:12" s="112" customFormat="1" ht="12.75">
      <c r="D78" s="387"/>
      <c r="E78" s="206"/>
      <c r="F78" s="387"/>
      <c r="G78" s="206"/>
      <c r="H78" s="388"/>
      <c r="J78" s="388"/>
      <c r="L78" s="388"/>
    </row>
    <row r="79" spans="4:12" s="112" customFormat="1" ht="12.75">
      <c r="D79" s="387"/>
      <c r="E79" s="206"/>
      <c r="F79" s="387"/>
      <c r="G79" s="206"/>
      <c r="H79" s="388"/>
      <c r="J79" s="388"/>
      <c r="L79" s="388"/>
    </row>
    <row r="80" spans="4:12" s="112" customFormat="1" ht="12.75">
      <c r="D80" s="387"/>
      <c r="E80" s="206"/>
      <c r="F80" s="387"/>
      <c r="G80" s="206"/>
      <c r="H80" s="388"/>
      <c r="J80" s="388"/>
      <c r="L80" s="388"/>
    </row>
    <row r="81" spans="4:12" s="112" customFormat="1" ht="12.75">
      <c r="D81" s="387"/>
      <c r="E81" s="206"/>
      <c r="F81" s="387"/>
      <c r="G81" s="206"/>
      <c r="H81" s="388"/>
      <c r="J81" s="388"/>
      <c r="L81" s="388"/>
    </row>
    <row r="82" spans="4:12" s="112" customFormat="1" ht="12.75">
      <c r="D82" s="387"/>
      <c r="E82" s="206"/>
      <c r="F82" s="387"/>
      <c r="G82" s="206"/>
      <c r="H82" s="388"/>
      <c r="J82" s="388"/>
      <c r="L82" s="388"/>
    </row>
    <row r="83" spans="4:12" s="112" customFormat="1" ht="12.75">
      <c r="D83" s="387"/>
      <c r="E83" s="206"/>
      <c r="F83" s="387"/>
      <c r="G83" s="206"/>
      <c r="H83" s="388"/>
      <c r="J83" s="388"/>
      <c r="L83" s="388"/>
    </row>
    <row r="84" spans="4:12" s="112" customFormat="1" ht="12.75">
      <c r="D84" s="387"/>
      <c r="E84" s="206"/>
      <c r="F84" s="387"/>
      <c r="G84" s="206"/>
      <c r="H84" s="388"/>
      <c r="J84" s="388"/>
      <c r="L84" s="388"/>
    </row>
    <row r="85" spans="4:12" s="112" customFormat="1" ht="12.75">
      <c r="D85" s="387"/>
      <c r="E85" s="206"/>
      <c r="F85" s="387"/>
      <c r="G85" s="206"/>
      <c r="H85" s="388"/>
      <c r="J85" s="388"/>
      <c r="L85" s="388"/>
    </row>
    <row r="86" spans="4:12" s="112" customFormat="1" ht="12.75">
      <c r="D86" s="387"/>
      <c r="E86" s="206"/>
      <c r="F86" s="387"/>
      <c r="G86" s="206"/>
      <c r="H86" s="388"/>
      <c r="J86" s="388"/>
      <c r="L86" s="388"/>
    </row>
    <row r="87" spans="4:12" s="112" customFormat="1" ht="12.75">
      <c r="D87" s="387"/>
      <c r="E87" s="206"/>
      <c r="F87" s="387"/>
      <c r="G87" s="206"/>
      <c r="H87" s="388"/>
      <c r="J87" s="388"/>
      <c r="L87" s="388"/>
    </row>
    <row r="88" spans="4:12" s="112" customFormat="1" ht="12.75">
      <c r="D88" s="387"/>
      <c r="E88" s="206"/>
      <c r="F88" s="387"/>
      <c r="G88" s="206"/>
      <c r="H88" s="388"/>
      <c r="J88" s="388"/>
      <c r="L88" s="388"/>
    </row>
    <row r="89" spans="4:12" s="112" customFormat="1" ht="12.75">
      <c r="D89" s="387"/>
      <c r="E89" s="206"/>
      <c r="F89" s="387"/>
      <c r="G89" s="206"/>
      <c r="H89" s="388"/>
      <c r="J89" s="388"/>
      <c r="L89" s="388"/>
    </row>
    <row r="90" spans="4:12" s="112" customFormat="1" ht="12.75">
      <c r="D90" s="387"/>
      <c r="E90" s="206"/>
      <c r="F90" s="387"/>
      <c r="G90" s="206"/>
      <c r="H90" s="388"/>
      <c r="J90" s="388"/>
      <c r="L90" s="388"/>
    </row>
    <row r="91" spans="4:12" s="112" customFormat="1" ht="12.75">
      <c r="D91" s="387"/>
      <c r="E91" s="206"/>
      <c r="F91" s="387"/>
      <c r="G91" s="206"/>
      <c r="H91" s="388"/>
      <c r="J91" s="388"/>
      <c r="L91" s="388"/>
    </row>
    <row r="92" spans="4:12" s="112" customFormat="1" ht="12.75">
      <c r="D92" s="387"/>
      <c r="E92" s="206"/>
      <c r="F92" s="387"/>
      <c r="G92" s="206"/>
      <c r="H92" s="388"/>
      <c r="J92" s="388"/>
      <c r="L92" s="388"/>
    </row>
    <row r="93" spans="4:12" s="112" customFormat="1" ht="12.75">
      <c r="D93" s="387"/>
      <c r="E93" s="206"/>
      <c r="F93" s="387"/>
      <c r="G93" s="206"/>
      <c r="H93" s="388"/>
      <c r="J93" s="388"/>
      <c r="L93" s="388"/>
    </row>
    <row r="94" spans="4:12" s="112" customFormat="1" ht="12.75">
      <c r="D94" s="387"/>
      <c r="E94" s="206"/>
      <c r="F94" s="387"/>
      <c r="G94" s="206"/>
      <c r="H94" s="388"/>
      <c r="J94" s="388"/>
      <c r="L94" s="388"/>
    </row>
    <row r="95" spans="4:12" s="112" customFormat="1" ht="12.75">
      <c r="D95" s="387"/>
      <c r="E95" s="206"/>
      <c r="F95" s="387"/>
      <c r="G95" s="206"/>
      <c r="H95" s="388"/>
      <c r="J95" s="388"/>
      <c r="L95" s="388"/>
    </row>
    <row r="96" spans="4:12" s="112" customFormat="1" ht="12.75">
      <c r="D96" s="387"/>
      <c r="E96" s="206"/>
      <c r="F96" s="387"/>
      <c r="G96" s="206"/>
      <c r="H96" s="388"/>
      <c r="J96" s="388"/>
      <c r="L96" s="388"/>
    </row>
    <row r="97" spans="4:12" s="112" customFormat="1" ht="12.75">
      <c r="D97" s="387"/>
      <c r="E97" s="206"/>
      <c r="F97" s="387"/>
      <c r="G97" s="206"/>
      <c r="H97" s="388"/>
      <c r="J97" s="388"/>
      <c r="L97" s="388"/>
    </row>
    <row r="98" spans="4:12" s="112" customFormat="1" ht="12.75">
      <c r="D98" s="387"/>
      <c r="E98" s="206"/>
      <c r="F98" s="387"/>
      <c r="G98" s="206"/>
      <c r="H98" s="388"/>
      <c r="J98" s="388"/>
      <c r="L98" s="388"/>
    </row>
    <row r="99" spans="4:12" s="112" customFormat="1" ht="12.75">
      <c r="D99" s="387"/>
      <c r="E99" s="206"/>
      <c r="F99" s="387"/>
      <c r="G99" s="206"/>
      <c r="H99" s="388"/>
      <c r="J99" s="388"/>
      <c r="L99" s="388"/>
    </row>
    <row r="100" spans="4:12" s="112" customFormat="1" ht="12.75">
      <c r="D100" s="387"/>
      <c r="E100" s="206"/>
      <c r="F100" s="387"/>
      <c r="G100" s="206"/>
      <c r="H100" s="388"/>
      <c r="J100" s="388"/>
      <c r="L100" s="388"/>
    </row>
    <row r="101" spans="4:12" s="112" customFormat="1" ht="12.75">
      <c r="D101" s="387"/>
      <c r="E101" s="206"/>
      <c r="F101" s="387"/>
      <c r="G101" s="206"/>
      <c r="H101" s="388"/>
      <c r="J101" s="388"/>
      <c r="L101" s="388"/>
    </row>
    <row r="102" spans="4:12" s="112" customFormat="1" ht="12.75">
      <c r="D102" s="387"/>
      <c r="E102" s="206"/>
      <c r="F102" s="387"/>
      <c r="G102" s="206"/>
      <c r="H102" s="388"/>
      <c r="J102" s="388"/>
      <c r="L102" s="388"/>
    </row>
    <row r="103" spans="4:12" s="112" customFormat="1" ht="12.75">
      <c r="D103" s="387"/>
      <c r="E103" s="206"/>
      <c r="F103" s="387"/>
      <c r="G103" s="206"/>
      <c r="H103" s="388"/>
      <c r="J103" s="388"/>
      <c r="L103" s="388"/>
    </row>
    <row r="104" spans="4:12" s="112" customFormat="1" ht="12.75">
      <c r="D104" s="387"/>
      <c r="E104" s="206"/>
      <c r="F104" s="387"/>
      <c r="G104" s="206"/>
      <c r="H104" s="388"/>
      <c r="J104" s="388"/>
      <c r="L104" s="388"/>
    </row>
    <row r="105" spans="4:12" s="112" customFormat="1" ht="12.75">
      <c r="D105" s="387"/>
      <c r="E105" s="206"/>
      <c r="F105" s="387"/>
      <c r="G105" s="206"/>
      <c r="H105" s="388"/>
      <c r="J105" s="388"/>
      <c r="L105" s="388"/>
    </row>
    <row r="106" spans="4:12" s="112" customFormat="1" ht="12.75">
      <c r="D106" s="387"/>
      <c r="E106" s="206"/>
      <c r="F106" s="387"/>
      <c r="G106" s="206"/>
      <c r="H106" s="388"/>
      <c r="J106" s="388"/>
      <c r="L106" s="388"/>
    </row>
    <row r="107" spans="4:12" s="112" customFormat="1" ht="12.75">
      <c r="D107" s="387"/>
      <c r="E107" s="206"/>
      <c r="F107" s="387"/>
      <c r="G107" s="206"/>
      <c r="H107" s="388"/>
      <c r="J107" s="388"/>
      <c r="L107" s="388"/>
    </row>
    <row r="108" spans="4:12" s="112" customFormat="1" ht="12.75">
      <c r="D108" s="387"/>
      <c r="E108" s="206"/>
      <c r="F108" s="387"/>
      <c r="G108" s="206"/>
      <c r="H108" s="388"/>
      <c r="J108" s="388"/>
      <c r="L108" s="388"/>
    </row>
    <row r="109" spans="4:12" s="112" customFormat="1" ht="12.75">
      <c r="D109" s="387"/>
      <c r="E109" s="206"/>
      <c r="F109" s="387"/>
      <c r="G109" s="206"/>
      <c r="H109" s="388"/>
      <c r="J109" s="388"/>
      <c r="L109" s="388"/>
    </row>
    <row r="110" spans="4:12" s="112" customFormat="1" ht="12.75">
      <c r="D110" s="387"/>
      <c r="E110" s="206"/>
      <c r="F110" s="387"/>
      <c r="G110" s="206"/>
      <c r="H110" s="388"/>
      <c r="J110" s="388"/>
      <c r="L110" s="388"/>
    </row>
    <row r="111" spans="4:12" s="112" customFormat="1" ht="12.75">
      <c r="D111" s="387"/>
      <c r="E111" s="206"/>
      <c r="F111" s="387"/>
      <c r="G111" s="206"/>
      <c r="H111" s="388"/>
      <c r="J111" s="388"/>
      <c r="L111" s="388"/>
    </row>
    <row r="112" spans="4:12" s="112" customFormat="1" ht="12.75">
      <c r="D112" s="387"/>
      <c r="E112" s="206"/>
      <c r="F112" s="387"/>
      <c r="G112" s="206"/>
      <c r="H112" s="388"/>
      <c r="J112" s="388"/>
      <c r="L112" s="388"/>
    </row>
    <row r="113" spans="4:12" s="112" customFormat="1" ht="12.75">
      <c r="D113" s="387"/>
      <c r="E113" s="206"/>
      <c r="F113" s="387"/>
      <c r="G113" s="206"/>
      <c r="H113" s="388"/>
      <c r="J113" s="388"/>
      <c r="L113" s="388"/>
    </row>
    <row r="114" spans="4:12" s="112" customFormat="1" ht="12.75">
      <c r="D114" s="387"/>
      <c r="E114" s="206"/>
      <c r="F114" s="387"/>
      <c r="G114" s="206"/>
      <c r="H114" s="388"/>
      <c r="J114" s="388"/>
      <c r="L114" s="388"/>
    </row>
    <row r="115" spans="4:12" s="112" customFormat="1" ht="12.75">
      <c r="D115" s="387"/>
      <c r="E115" s="206"/>
      <c r="F115" s="387"/>
      <c r="G115" s="206"/>
      <c r="H115" s="388"/>
      <c r="J115" s="388"/>
      <c r="L115" s="388"/>
    </row>
    <row r="116" spans="4:12" s="112" customFormat="1" ht="12.75">
      <c r="D116" s="387"/>
      <c r="E116" s="206"/>
      <c r="F116" s="387"/>
      <c r="G116" s="206"/>
      <c r="H116" s="388"/>
      <c r="J116" s="388"/>
      <c r="L116" s="388"/>
    </row>
    <row r="117" spans="4:12" s="112" customFormat="1" ht="12.75">
      <c r="D117" s="387"/>
      <c r="E117" s="206"/>
      <c r="F117" s="387"/>
      <c r="G117" s="206"/>
      <c r="H117" s="388"/>
      <c r="J117" s="388"/>
      <c r="L117" s="388"/>
    </row>
    <row r="118" spans="4:12" s="112" customFormat="1" ht="12.75">
      <c r="D118" s="387"/>
      <c r="E118" s="206"/>
      <c r="F118" s="387"/>
      <c r="G118" s="206"/>
      <c r="H118" s="388"/>
      <c r="J118" s="388"/>
      <c r="L118" s="388"/>
    </row>
    <row r="119" spans="4:12" s="112" customFormat="1" ht="12.75">
      <c r="D119" s="387"/>
      <c r="E119" s="206"/>
      <c r="F119" s="387"/>
      <c r="G119" s="206"/>
      <c r="H119" s="388"/>
      <c r="J119" s="388"/>
      <c r="L119" s="388"/>
    </row>
    <row r="120" spans="4:12" s="112" customFormat="1" ht="12.75">
      <c r="D120" s="387"/>
      <c r="E120" s="206"/>
      <c r="F120" s="387"/>
      <c r="G120" s="206"/>
      <c r="H120" s="388"/>
      <c r="J120" s="388"/>
      <c r="L120" s="388"/>
    </row>
    <row r="121" spans="4:12" s="112" customFormat="1" ht="12.75">
      <c r="D121" s="387"/>
      <c r="E121" s="206"/>
      <c r="F121" s="387"/>
      <c r="G121" s="206"/>
      <c r="H121" s="388"/>
      <c r="J121" s="388"/>
      <c r="L121" s="388"/>
    </row>
    <row r="122" spans="4:12" s="112" customFormat="1" ht="12.75">
      <c r="D122" s="387"/>
      <c r="E122" s="206"/>
      <c r="F122" s="387"/>
      <c r="G122" s="206"/>
      <c r="H122" s="388"/>
      <c r="J122" s="388"/>
      <c r="L122" s="388"/>
    </row>
    <row r="123" spans="4:12" s="112" customFormat="1" ht="12.75">
      <c r="D123" s="387"/>
      <c r="E123" s="206"/>
      <c r="F123" s="387"/>
      <c r="G123" s="206"/>
      <c r="H123" s="388"/>
      <c r="J123" s="388"/>
      <c r="L123" s="388"/>
    </row>
    <row r="124" spans="4:12" s="112" customFormat="1" ht="12.75">
      <c r="D124" s="387"/>
      <c r="E124" s="206"/>
      <c r="F124" s="387"/>
      <c r="G124" s="206"/>
      <c r="H124" s="388"/>
      <c r="J124" s="388"/>
      <c r="L124" s="388"/>
    </row>
    <row r="125" spans="4:12" s="112" customFormat="1" ht="12.75">
      <c r="D125" s="387"/>
      <c r="E125" s="206"/>
      <c r="F125" s="387"/>
      <c r="G125" s="206"/>
      <c r="H125" s="388"/>
      <c r="J125" s="388"/>
      <c r="L125" s="388"/>
    </row>
    <row r="126" spans="4:12" s="112" customFormat="1" ht="12.75">
      <c r="D126" s="387"/>
      <c r="E126" s="206"/>
      <c r="F126" s="387"/>
      <c r="G126" s="206"/>
      <c r="H126" s="388"/>
      <c r="J126" s="388"/>
      <c r="L126" s="388"/>
    </row>
    <row r="127" spans="4:12" s="112" customFormat="1" ht="12.75">
      <c r="D127" s="387"/>
      <c r="E127" s="206"/>
      <c r="F127" s="387"/>
      <c r="G127" s="206"/>
      <c r="H127" s="388"/>
      <c r="J127" s="388"/>
      <c r="L127" s="388"/>
    </row>
    <row r="128" spans="4:12" s="112" customFormat="1" ht="12.75">
      <c r="D128" s="387"/>
      <c r="E128" s="206"/>
      <c r="F128" s="387"/>
      <c r="G128" s="206"/>
      <c r="H128" s="388"/>
      <c r="J128" s="388"/>
      <c r="L128" s="388"/>
    </row>
    <row r="129" spans="4:12" s="112" customFormat="1" ht="12.75">
      <c r="D129" s="387"/>
      <c r="E129" s="206"/>
      <c r="F129" s="387"/>
      <c r="G129" s="206"/>
      <c r="H129" s="388"/>
      <c r="J129" s="388"/>
      <c r="L129" s="388"/>
    </row>
    <row r="130" spans="4:12" s="112" customFormat="1" ht="12.75">
      <c r="D130" s="387"/>
      <c r="E130" s="206"/>
      <c r="F130" s="387"/>
      <c r="G130" s="206"/>
      <c r="H130" s="388"/>
      <c r="J130" s="388"/>
      <c r="L130" s="388"/>
    </row>
    <row r="131" spans="4:12" s="112" customFormat="1" ht="12.75">
      <c r="D131" s="387"/>
      <c r="E131" s="206"/>
      <c r="F131" s="387"/>
      <c r="G131" s="206"/>
      <c r="H131" s="388"/>
      <c r="J131" s="388"/>
      <c r="L131" s="388"/>
    </row>
    <row r="132" spans="4:12" s="112" customFormat="1" ht="12.75">
      <c r="D132" s="387"/>
      <c r="E132" s="206"/>
      <c r="F132" s="387"/>
      <c r="G132" s="206"/>
      <c r="H132" s="388"/>
      <c r="J132" s="388"/>
      <c r="L132" s="388"/>
    </row>
    <row r="133" spans="4:12" s="112" customFormat="1" ht="12.75">
      <c r="D133" s="387"/>
      <c r="E133" s="206"/>
      <c r="F133" s="387"/>
      <c r="G133" s="206"/>
      <c r="H133" s="388"/>
      <c r="J133" s="388"/>
      <c r="L133" s="388"/>
    </row>
    <row r="134" spans="4:12" s="112" customFormat="1" ht="12.75">
      <c r="D134" s="387"/>
      <c r="E134" s="206"/>
      <c r="F134" s="387"/>
      <c r="G134" s="206"/>
      <c r="H134" s="388"/>
      <c r="J134" s="388"/>
      <c r="L134" s="388"/>
    </row>
    <row r="135" spans="4:12" s="112" customFormat="1" ht="12.75">
      <c r="D135" s="387"/>
      <c r="E135" s="206"/>
      <c r="F135" s="387"/>
      <c r="G135" s="206"/>
      <c r="H135" s="388"/>
      <c r="J135" s="388"/>
      <c r="L135" s="388"/>
    </row>
    <row r="136" spans="4:12" s="112" customFormat="1" ht="12.75">
      <c r="D136" s="387"/>
      <c r="E136" s="206"/>
      <c r="F136" s="387"/>
      <c r="G136" s="206"/>
      <c r="H136" s="388"/>
      <c r="J136" s="388"/>
      <c r="L136" s="388"/>
    </row>
    <row r="137" spans="4:12" s="112" customFormat="1" ht="12.75">
      <c r="D137" s="387"/>
      <c r="E137" s="206"/>
      <c r="F137" s="387"/>
      <c r="G137" s="206"/>
      <c r="H137" s="388"/>
      <c r="J137" s="388"/>
      <c r="L137" s="388"/>
    </row>
    <row r="138" spans="4:12" s="112" customFormat="1" ht="12.75">
      <c r="D138" s="387"/>
      <c r="E138" s="206"/>
      <c r="F138" s="387"/>
      <c r="G138" s="206"/>
      <c r="H138" s="388"/>
      <c r="J138" s="388"/>
      <c r="L138" s="388"/>
    </row>
    <row r="139" spans="4:12" s="112" customFormat="1" ht="12.75">
      <c r="D139" s="387"/>
      <c r="E139" s="206"/>
      <c r="F139" s="387"/>
      <c r="G139" s="206"/>
      <c r="H139" s="388"/>
      <c r="J139" s="388"/>
      <c r="L139" s="388"/>
    </row>
    <row r="140" spans="4:12" s="112" customFormat="1" ht="12.75">
      <c r="D140" s="387"/>
      <c r="E140" s="206"/>
      <c r="F140" s="387"/>
      <c r="G140" s="206"/>
      <c r="H140" s="388"/>
      <c r="J140" s="388"/>
      <c r="L140" s="388"/>
    </row>
    <row r="141" spans="4:12" s="112" customFormat="1" ht="12.75">
      <c r="D141" s="387"/>
      <c r="E141" s="206"/>
      <c r="F141" s="387"/>
      <c r="G141" s="206"/>
      <c r="H141" s="388"/>
      <c r="J141" s="388"/>
      <c r="L141" s="388"/>
    </row>
    <row r="142" spans="4:12" s="112" customFormat="1" ht="12.75">
      <c r="D142" s="387"/>
      <c r="E142" s="206"/>
      <c r="F142" s="387"/>
      <c r="G142" s="206"/>
      <c r="H142" s="388"/>
      <c r="J142" s="388"/>
      <c r="L142" s="388"/>
    </row>
    <row r="143" spans="4:12" s="112" customFormat="1" ht="12.75">
      <c r="D143" s="387"/>
      <c r="E143" s="206"/>
      <c r="F143" s="387"/>
      <c r="G143" s="206"/>
      <c r="H143" s="388"/>
      <c r="J143" s="388"/>
      <c r="L143" s="388"/>
    </row>
    <row r="144" spans="4:12" s="112" customFormat="1" ht="12.75">
      <c r="D144" s="387"/>
      <c r="E144" s="206"/>
      <c r="F144" s="387"/>
      <c r="G144" s="206"/>
      <c r="H144" s="388"/>
      <c r="J144" s="388"/>
      <c r="L144" s="388"/>
    </row>
    <row r="145" spans="4:12" s="112" customFormat="1" ht="12.75">
      <c r="D145" s="387"/>
      <c r="E145" s="206"/>
      <c r="F145" s="387"/>
      <c r="G145" s="206"/>
      <c r="H145" s="388"/>
      <c r="J145" s="388"/>
      <c r="L145" s="388"/>
    </row>
    <row r="146" spans="4:12" s="112" customFormat="1" ht="12.75">
      <c r="D146" s="387"/>
      <c r="E146" s="206"/>
      <c r="F146" s="387"/>
      <c r="G146" s="206"/>
      <c r="H146" s="388"/>
      <c r="J146" s="388"/>
      <c r="L146" s="388"/>
    </row>
    <row r="147" spans="4:12" s="112" customFormat="1" ht="12.75">
      <c r="D147" s="387"/>
      <c r="E147" s="206"/>
      <c r="F147" s="387"/>
      <c r="G147" s="206"/>
      <c r="H147" s="388"/>
      <c r="J147" s="388"/>
      <c r="L147" s="388"/>
    </row>
    <row r="148" spans="4:12" s="112" customFormat="1" ht="12.75">
      <c r="D148" s="387"/>
      <c r="E148" s="206"/>
      <c r="F148" s="387"/>
      <c r="G148" s="206"/>
      <c r="H148" s="388"/>
      <c r="J148" s="388"/>
      <c r="L148" s="388"/>
    </row>
    <row r="149" spans="4:12" s="112" customFormat="1" ht="12.75">
      <c r="D149" s="387"/>
      <c r="E149" s="206"/>
      <c r="F149" s="387"/>
      <c r="G149" s="206"/>
      <c r="H149" s="388"/>
      <c r="J149" s="388"/>
      <c r="L149" s="388"/>
    </row>
    <row r="150" spans="4:12" s="112" customFormat="1" ht="12.75">
      <c r="D150" s="387"/>
      <c r="E150" s="206"/>
      <c r="F150" s="387"/>
      <c r="G150" s="206"/>
      <c r="H150" s="388"/>
      <c r="J150" s="388"/>
      <c r="L150" s="388"/>
    </row>
    <row r="151" spans="4:12" s="112" customFormat="1" ht="12.75">
      <c r="D151" s="387"/>
      <c r="E151" s="206"/>
      <c r="F151" s="387"/>
      <c r="G151" s="206"/>
      <c r="H151" s="388"/>
      <c r="J151" s="388"/>
      <c r="L151" s="388"/>
    </row>
    <row r="152" spans="4:12" s="112" customFormat="1" ht="12.75">
      <c r="D152" s="387"/>
      <c r="E152" s="206"/>
      <c r="F152" s="387"/>
      <c r="G152" s="206"/>
      <c r="H152" s="388"/>
      <c r="J152" s="388"/>
      <c r="L152" s="388"/>
    </row>
    <row r="153" spans="4:12" s="112" customFormat="1" ht="12.75">
      <c r="D153" s="387"/>
      <c r="E153" s="206"/>
      <c r="F153" s="387"/>
      <c r="G153" s="206"/>
      <c r="H153" s="388"/>
      <c r="J153" s="388"/>
      <c r="L153" s="388"/>
    </row>
    <row r="154" spans="4:12" s="112" customFormat="1" ht="12.75">
      <c r="D154" s="387"/>
      <c r="E154" s="206"/>
      <c r="F154" s="387"/>
      <c r="G154" s="206"/>
      <c r="H154" s="388"/>
      <c r="J154" s="388"/>
      <c r="L154" s="388"/>
    </row>
    <row r="155" spans="4:12" s="112" customFormat="1" ht="12.75">
      <c r="D155" s="387"/>
      <c r="E155" s="206"/>
      <c r="F155" s="387"/>
      <c r="G155" s="206"/>
      <c r="H155" s="388"/>
      <c r="J155" s="388"/>
      <c r="L155" s="388"/>
    </row>
    <row r="156" spans="4:12" s="112" customFormat="1" ht="12.75">
      <c r="D156" s="387"/>
      <c r="E156" s="206"/>
      <c r="F156" s="387"/>
      <c r="G156" s="206"/>
      <c r="H156" s="388"/>
      <c r="J156" s="388"/>
      <c r="L156" s="388"/>
    </row>
    <row r="157" spans="4:12" s="112" customFormat="1" ht="12.75">
      <c r="D157" s="387"/>
      <c r="E157" s="206"/>
      <c r="F157" s="387"/>
      <c r="G157" s="206"/>
      <c r="H157" s="388"/>
      <c r="J157" s="388"/>
      <c r="L157" s="388"/>
    </row>
    <row r="158" spans="4:12" s="112" customFormat="1" ht="12.75">
      <c r="D158" s="387"/>
      <c r="E158" s="206"/>
      <c r="F158" s="387"/>
      <c r="G158" s="206"/>
      <c r="H158" s="388"/>
      <c r="J158" s="388"/>
      <c r="L158" s="388"/>
    </row>
    <row r="159" spans="4:12" s="112" customFormat="1" ht="12.75">
      <c r="D159" s="387"/>
      <c r="E159" s="206"/>
      <c r="F159" s="387"/>
      <c r="G159" s="206"/>
      <c r="H159" s="388"/>
      <c r="J159" s="388"/>
      <c r="L159" s="388"/>
    </row>
    <row r="160" spans="4:12" s="112" customFormat="1" ht="12.75">
      <c r="D160" s="387"/>
      <c r="E160" s="206"/>
      <c r="F160" s="387"/>
      <c r="G160" s="206"/>
      <c r="H160" s="388"/>
      <c r="J160" s="388"/>
      <c r="L160" s="388"/>
    </row>
    <row r="161" spans="4:12" s="112" customFormat="1" ht="12.75">
      <c r="D161" s="387"/>
      <c r="E161" s="206"/>
      <c r="F161" s="387"/>
      <c r="G161" s="206"/>
      <c r="H161" s="388"/>
      <c r="J161" s="388"/>
      <c r="L161" s="388"/>
    </row>
    <row r="162" spans="4:12" s="112" customFormat="1" ht="12.75">
      <c r="D162" s="387"/>
      <c r="E162" s="206"/>
      <c r="F162" s="387"/>
      <c r="G162" s="206"/>
      <c r="H162" s="388"/>
      <c r="J162" s="388"/>
      <c r="L162" s="388"/>
    </row>
    <row r="163" spans="4:12" s="112" customFormat="1" ht="12.75">
      <c r="D163" s="387"/>
      <c r="E163" s="206"/>
      <c r="F163" s="387"/>
      <c r="G163" s="206"/>
      <c r="H163" s="388"/>
      <c r="J163" s="388"/>
      <c r="L163" s="388"/>
    </row>
    <row r="164" spans="4:12" s="112" customFormat="1" ht="12.75">
      <c r="D164" s="387"/>
      <c r="E164" s="206"/>
      <c r="F164" s="387"/>
      <c r="G164" s="206"/>
      <c r="H164" s="388"/>
      <c r="J164" s="388"/>
      <c r="L164" s="388"/>
    </row>
    <row r="165" spans="4:12" s="112" customFormat="1" ht="12.75">
      <c r="D165" s="387"/>
      <c r="E165" s="206"/>
      <c r="F165" s="387"/>
      <c r="G165" s="206"/>
      <c r="H165" s="388"/>
      <c r="J165" s="388"/>
      <c r="L165" s="388"/>
    </row>
    <row r="166" spans="4:12" s="112" customFormat="1" ht="12.75">
      <c r="D166" s="387"/>
      <c r="E166" s="206"/>
      <c r="F166" s="387"/>
      <c r="G166" s="206"/>
      <c r="H166" s="388"/>
      <c r="J166" s="388"/>
      <c r="L166" s="388"/>
    </row>
    <row r="167" spans="4:12" s="112" customFormat="1" ht="12.75">
      <c r="D167" s="387"/>
      <c r="E167" s="206"/>
      <c r="F167" s="387"/>
      <c r="G167" s="206"/>
      <c r="H167" s="388"/>
      <c r="J167" s="388"/>
      <c r="L167" s="388"/>
    </row>
    <row r="168" spans="4:12" s="112" customFormat="1" ht="12.75">
      <c r="D168" s="387"/>
      <c r="E168" s="206"/>
      <c r="F168" s="387"/>
      <c r="G168" s="206"/>
      <c r="H168" s="388"/>
      <c r="J168" s="388"/>
      <c r="L168" s="388"/>
    </row>
    <row r="169" spans="4:12" s="112" customFormat="1" ht="12.75">
      <c r="D169" s="387"/>
      <c r="E169" s="206"/>
      <c r="F169" s="387"/>
      <c r="G169" s="206"/>
      <c r="H169" s="388"/>
      <c r="J169" s="388"/>
      <c r="L169" s="388"/>
    </row>
    <row r="170" spans="4:12" s="112" customFormat="1" ht="12.75">
      <c r="D170" s="387"/>
      <c r="E170" s="206"/>
      <c r="F170" s="387"/>
      <c r="G170" s="206"/>
      <c r="H170" s="388"/>
      <c r="J170" s="388"/>
      <c r="L170" s="388"/>
    </row>
    <row r="171" spans="4:12" s="112" customFormat="1" ht="12.75">
      <c r="D171" s="387"/>
      <c r="E171" s="206"/>
      <c r="F171" s="387"/>
      <c r="G171" s="206"/>
      <c r="H171" s="388"/>
      <c r="J171" s="388"/>
      <c r="L171" s="388"/>
    </row>
    <row r="172" spans="4:12" s="112" customFormat="1" ht="12.75">
      <c r="D172" s="387"/>
      <c r="E172" s="206"/>
      <c r="F172" s="387"/>
      <c r="G172" s="206"/>
      <c r="H172" s="388"/>
      <c r="J172" s="388"/>
      <c r="L172" s="388"/>
    </row>
    <row r="173" spans="4:12" s="112" customFormat="1" ht="12.75">
      <c r="D173" s="387"/>
      <c r="E173" s="206"/>
      <c r="F173" s="387"/>
      <c r="G173" s="206"/>
      <c r="H173" s="388"/>
      <c r="J173" s="388"/>
      <c r="L173" s="388"/>
    </row>
    <row r="174" spans="4:12" s="112" customFormat="1" ht="12.75">
      <c r="D174" s="387"/>
      <c r="E174" s="206"/>
      <c r="F174" s="387"/>
      <c r="G174" s="206"/>
      <c r="H174" s="388"/>
      <c r="J174" s="388"/>
      <c r="L174" s="388"/>
    </row>
    <row r="175" spans="4:12" s="112" customFormat="1" ht="12.75">
      <c r="D175" s="387"/>
      <c r="E175" s="206"/>
      <c r="F175" s="387"/>
      <c r="G175" s="206"/>
      <c r="H175" s="388"/>
      <c r="J175" s="388"/>
      <c r="L175" s="388"/>
    </row>
    <row r="176" spans="4:12" s="112" customFormat="1" ht="12.75">
      <c r="D176" s="387"/>
      <c r="E176" s="206"/>
      <c r="F176" s="387"/>
      <c r="G176" s="206"/>
      <c r="H176" s="388"/>
      <c r="J176" s="388"/>
      <c r="L176" s="388"/>
    </row>
    <row r="177" spans="4:12" s="112" customFormat="1" ht="12.75">
      <c r="D177" s="387"/>
      <c r="E177" s="206"/>
      <c r="F177" s="387"/>
      <c r="G177" s="206"/>
      <c r="H177" s="388"/>
      <c r="J177" s="388"/>
      <c r="L177" s="388"/>
    </row>
    <row r="178" spans="4:12" s="112" customFormat="1" ht="12.75">
      <c r="D178" s="387"/>
      <c r="E178" s="206"/>
      <c r="F178" s="387"/>
      <c r="G178" s="206"/>
      <c r="H178" s="388"/>
      <c r="J178" s="388"/>
      <c r="L178" s="388"/>
    </row>
    <row r="179" spans="4:12" s="112" customFormat="1" ht="12.75">
      <c r="D179" s="387"/>
      <c r="E179" s="206"/>
      <c r="F179" s="387"/>
      <c r="G179" s="206"/>
      <c r="H179" s="388"/>
      <c r="J179" s="388"/>
      <c r="L179" s="388"/>
    </row>
    <row r="180" spans="4:12" s="112" customFormat="1" ht="12.75">
      <c r="D180" s="387"/>
      <c r="E180" s="206"/>
      <c r="F180" s="387"/>
      <c r="G180" s="206"/>
      <c r="H180" s="388"/>
      <c r="J180" s="388"/>
      <c r="L180" s="388"/>
    </row>
    <row r="181" spans="4:12" s="112" customFormat="1" ht="12.75">
      <c r="D181" s="387"/>
      <c r="E181" s="206"/>
      <c r="F181" s="387"/>
      <c r="G181" s="206"/>
      <c r="H181" s="388"/>
      <c r="J181" s="388"/>
      <c r="L181" s="388"/>
    </row>
    <row r="182" spans="4:12" s="112" customFormat="1" ht="12.75">
      <c r="D182" s="387"/>
      <c r="E182" s="206"/>
      <c r="F182" s="387"/>
      <c r="G182" s="206"/>
      <c r="H182" s="388"/>
      <c r="J182" s="388"/>
      <c r="L182" s="388"/>
    </row>
    <row r="183" spans="4:12" s="112" customFormat="1" ht="12.75">
      <c r="D183" s="387"/>
      <c r="E183" s="206"/>
      <c r="F183" s="387"/>
      <c r="G183" s="206"/>
      <c r="H183" s="388"/>
      <c r="J183" s="388"/>
      <c r="L183" s="388"/>
    </row>
    <row r="184" spans="4:12" s="112" customFormat="1" ht="12.75">
      <c r="D184" s="387"/>
      <c r="E184" s="206"/>
      <c r="F184" s="387"/>
      <c r="G184" s="206"/>
      <c r="H184" s="388"/>
      <c r="J184" s="388"/>
      <c r="L184" s="388"/>
    </row>
    <row r="185" spans="4:12" s="112" customFormat="1" ht="12.75">
      <c r="D185" s="387"/>
      <c r="E185" s="206"/>
      <c r="F185" s="387"/>
      <c r="G185" s="206"/>
      <c r="H185" s="388"/>
      <c r="J185" s="388"/>
      <c r="L185" s="388"/>
    </row>
    <row r="186" spans="4:12" s="112" customFormat="1" ht="12.75">
      <c r="D186" s="387"/>
      <c r="E186" s="206"/>
      <c r="F186" s="387"/>
      <c r="G186" s="206"/>
      <c r="H186" s="388"/>
      <c r="J186" s="388"/>
      <c r="L186" s="388"/>
    </row>
    <row r="187" spans="4:12" s="112" customFormat="1" ht="12.75">
      <c r="D187" s="387"/>
      <c r="E187" s="206"/>
      <c r="F187" s="387"/>
      <c r="G187" s="206"/>
      <c r="H187" s="388"/>
      <c r="J187" s="388"/>
      <c r="L187" s="388"/>
    </row>
    <row r="188" spans="4:12" s="112" customFormat="1" ht="12.75">
      <c r="D188" s="387"/>
      <c r="E188" s="206"/>
      <c r="F188" s="387"/>
      <c r="G188" s="206"/>
      <c r="H188" s="388"/>
      <c r="J188" s="388"/>
      <c r="L188" s="388"/>
    </row>
    <row r="189" spans="4:12" s="112" customFormat="1" ht="12.75">
      <c r="D189" s="387"/>
      <c r="E189" s="206"/>
      <c r="F189" s="387"/>
      <c r="G189" s="206"/>
      <c r="H189" s="388"/>
      <c r="J189" s="388"/>
      <c r="L189" s="388"/>
    </row>
    <row r="190" spans="4:12" s="112" customFormat="1" ht="12.75">
      <c r="D190" s="387"/>
      <c r="E190" s="206"/>
      <c r="F190" s="387"/>
      <c r="G190" s="206"/>
      <c r="H190" s="388"/>
      <c r="J190" s="388"/>
      <c r="L190" s="388"/>
    </row>
    <row r="191" spans="4:12" s="112" customFormat="1" ht="12.75">
      <c r="D191" s="387"/>
      <c r="E191" s="206"/>
      <c r="F191" s="387"/>
      <c r="G191" s="206"/>
      <c r="H191" s="388"/>
      <c r="J191" s="388"/>
      <c r="L191" s="388"/>
    </row>
    <row r="192" spans="4:12" s="112" customFormat="1" ht="12.75">
      <c r="D192" s="387"/>
      <c r="E192" s="206"/>
      <c r="F192" s="387"/>
      <c r="G192" s="206"/>
      <c r="H192" s="388"/>
      <c r="J192" s="388"/>
      <c r="L192" s="388"/>
    </row>
    <row r="193" spans="4:12" s="112" customFormat="1" ht="12.75">
      <c r="D193" s="387"/>
      <c r="E193" s="206"/>
      <c r="F193" s="387"/>
      <c r="G193" s="206"/>
      <c r="H193" s="388"/>
      <c r="J193" s="388"/>
      <c r="L193" s="388"/>
    </row>
    <row r="194" spans="4:12" s="112" customFormat="1" ht="12.75">
      <c r="D194" s="387"/>
      <c r="E194" s="206"/>
      <c r="F194" s="387"/>
      <c r="G194" s="206"/>
      <c r="H194" s="388"/>
      <c r="J194" s="388"/>
      <c r="L194" s="388"/>
    </row>
    <row r="195" spans="4:12" s="112" customFormat="1" ht="12.75">
      <c r="D195" s="387"/>
      <c r="E195" s="206"/>
      <c r="F195" s="387"/>
      <c r="G195" s="206"/>
      <c r="H195" s="388"/>
      <c r="J195" s="388"/>
      <c r="L195" s="388"/>
    </row>
    <row r="196" spans="4:12" s="112" customFormat="1" ht="12.75">
      <c r="D196" s="387"/>
      <c r="E196" s="206"/>
      <c r="F196" s="387"/>
      <c r="G196" s="206"/>
      <c r="H196" s="388"/>
      <c r="J196" s="388"/>
      <c r="L196" s="388"/>
    </row>
    <row r="197" spans="4:12" s="112" customFormat="1" ht="12.75">
      <c r="D197" s="387"/>
      <c r="E197" s="206"/>
      <c r="F197" s="387"/>
      <c r="G197" s="206"/>
      <c r="H197" s="388"/>
      <c r="J197" s="388"/>
      <c r="L197" s="388"/>
    </row>
    <row r="198" spans="4:12" s="112" customFormat="1" ht="12.75">
      <c r="D198" s="387"/>
      <c r="E198" s="206"/>
      <c r="F198" s="387"/>
      <c r="G198" s="206"/>
      <c r="H198" s="388"/>
      <c r="J198" s="388"/>
      <c r="L198" s="388"/>
    </row>
    <row r="199" spans="4:12" s="112" customFormat="1" ht="12.75">
      <c r="D199" s="387"/>
      <c r="E199" s="206"/>
      <c r="F199" s="387"/>
      <c r="G199" s="206"/>
      <c r="H199" s="388"/>
      <c r="J199" s="388"/>
      <c r="L199" s="388"/>
    </row>
    <row r="200" spans="4:12" s="112" customFormat="1" ht="12.75">
      <c r="D200" s="387"/>
      <c r="E200" s="206"/>
      <c r="F200" s="387"/>
      <c r="G200" s="206"/>
      <c r="H200" s="388"/>
      <c r="J200" s="388"/>
      <c r="L200" s="388"/>
    </row>
    <row r="201" spans="4:12" s="112" customFormat="1" ht="12.75">
      <c r="D201" s="387"/>
      <c r="E201" s="206"/>
      <c r="F201" s="387"/>
      <c r="G201" s="206"/>
      <c r="H201" s="388"/>
      <c r="J201" s="388"/>
      <c r="L201" s="388"/>
    </row>
    <row r="202" spans="4:12" s="112" customFormat="1" ht="12.75">
      <c r="D202" s="387"/>
      <c r="E202" s="206"/>
      <c r="F202" s="387"/>
      <c r="G202" s="206"/>
      <c r="H202" s="388"/>
      <c r="J202" s="388"/>
      <c r="L202" s="388"/>
    </row>
    <row r="203" spans="4:12" s="112" customFormat="1" ht="12.75">
      <c r="D203" s="387"/>
      <c r="E203" s="206"/>
      <c r="F203" s="387"/>
      <c r="G203" s="206"/>
      <c r="H203" s="388"/>
      <c r="J203" s="388"/>
      <c r="L203" s="388"/>
    </row>
    <row r="204" spans="4:12" s="112" customFormat="1" ht="12.75">
      <c r="D204" s="387"/>
      <c r="E204" s="206"/>
      <c r="F204" s="387"/>
      <c r="G204" s="206"/>
      <c r="H204" s="388"/>
      <c r="J204" s="388"/>
      <c r="L204" s="388"/>
    </row>
    <row r="205" spans="4:12" s="112" customFormat="1" ht="12.75">
      <c r="D205" s="387"/>
      <c r="E205" s="206"/>
      <c r="F205" s="387"/>
      <c r="G205" s="206"/>
      <c r="H205" s="388"/>
      <c r="J205" s="388"/>
      <c r="L205" s="388"/>
    </row>
    <row r="206" spans="4:12" s="112" customFormat="1" ht="12.75">
      <c r="D206" s="387"/>
      <c r="E206" s="206"/>
      <c r="F206" s="387"/>
      <c r="G206" s="206"/>
      <c r="H206" s="388"/>
      <c r="J206" s="388"/>
      <c r="L206" s="388"/>
    </row>
    <row r="207" spans="4:12" s="112" customFormat="1" ht="12.75">
      <c r="D207" s="387"/>
      <c r="E207" s="206"/>
      <c r="F207" s="387"/>
      <c r="G207" s="206"/>
      <c r="H207" s="388"/>
      <c r="J207" s="388"/>
      <c r="L207" s="388"/>
    </row>
    <row r="208" spans="4:12" s="112" customFormat="1" ht="12.75">
      <c r="D208" s="387"/>
      <c r="E208" s="206"/>
      <c r="F208" s="387"/>
      <c r="G208" s="206"/>
      <c r="H208" s="388"/>
      <c r="J208" s="388"/>
      <c r="L208" s="388"/>
    </row>
    <row r="209" spans="4:12" s="112" customFormat="1" ht="12.75">
      <c r="D209" s="387"/>
      <c r="E209" s="206"/>
      <c r="F209" s="387"/>
      <c r="G209" s="206"/>
      <c r="H209" s="388"/>
      <c r="J209" s="388"/>
      <c r="L209" s="388"/>
    </row>
    <row r="210" spans="4:12" s="112" customFormat="1" ht="12.75">
      <c r="D210" s="387"/>
      <c r="E210" s="206"/>
      <c r="F210" s="387"/>
      <c r="G210" s="206"/>
      <c r="H210" s="388"/>
      <c r="J210" s="388"/>
      <c r="L210" s="388"/>
    </row>
    <row r="211" spans="4:12" s="112" customFormat="1" ht="12.75">
      <c r="D211" s="387"/>
      <c r="E211" s="206"/>
      <c r="F211" s="387"/>
      <c r="G211" s="206"/>
      <c r="H211" s="388"/>
      <c r="J211" s="388"/>
      <c r="L211" s="388"/>
    </row>
    <row r="212" spans="4:12" s="112" customFormat="1" ht="12.75">
      <c r="D212" s="387"/>
      <c r="E212" s="206"/>
      <c r="F212" s="387"/>
      <c r="G212" s="206"/>
      <c r="H212" s="388"/>
      <c r="J212" s="388"/>
      <c r="L212" s="388"/>
    </row>
    <row r="213" spans="4:12" s="112" customFormat="1" ht="12.75">
      <c r="D213" s="387"/>
      <c r="E213" s="206"/>
      <c r="F213" s="387"/>
      <c r="G213" s="206"/>
      <c r="H213" s="388"/>
      <c r="J213" s="388"/>
      <c r="L213" s="388"/>
    </row>
    <row r="214" spans="4:12" s="112" customFormat="1" ht="12.75">
      <c r="D214" s="387"/>
      <c r="E214" s="206"/>
      <c r="F214" s="387"/>
      <c r="G214" s="206"/>
      <c r="H214" s="388"/>
      <c r="J214" s="388"/>
      <c r="L214" s="388"/>
    </row>
    <row r="215" spans="4:12" s="112" customFormat="1" ht="12.75">
      <c r="D215" s="387"/>
      <c r="E215" s="206"/>
      <c r="F215" s="387"/>
      <c r="G215" s="206"/>
      <c r="H215" s="388"/>
      <c r="J215" s="388"/>
      <c r="L215" s="388"/>
    </row>
    <row r="216" spans="4:12" s="112" customFormat="1" ht="12.75">
      <c r="D216" s="387"/>
      <c r="E216" s="206"/>
      <c r="F216" s="387"/>
      <c r="G216" s="206"/>
      <c r="H216" s="388"/>
      <c r="J216" s="388"/>
      <c r="L216" s="388"/>
    </row>
    <row r="217" spans="4:12" s="112" customFormat="1" ht="12.75">
      <c r="D217" s="387"/>
      <c r="E217" s="206"/>
      <c r="F217" s="387"/>
      <c r="G217" s="206"/>
      <c r="H217" s="388"/>
      <c r="J217" s="388"/>
      <c r="L217" s="388"/>
    </row>
    <row r="218" spans="4:12" s="112" customFormat="1" ht="12.75">
      <c r="D218" s="387"/>
      <c r="E218" s="206"/>
      <c r="F218" s="387"/>
      <c r="G218" s="206"/>
      <c r="H218" s="388"/>
      <c r="J218" s="388"/>
      <c r="L218" s="388"/>
    </row>
    <row r="219" spans="4:12" s="112" customFormat="1" ht="12.75">
      <c r="D219" s="387"/>
      <c r="E219" s="206"/>
      <c r="F219" s="387"/>
      <c r="G219" s="206"/>
      <c r="H219" s="388"/>
      <c r="J219" s="388"/>
      <c r="L219" s="388"/>
    </row>
    <row r="220" spans="4:12" s="112" customFormat="1" ht="12.75">
      <c r="D220" s="387"/>
      <c r="E220" s="206"/>
      <c r="F220" s="387"/>
      <c r="G220" s="206"/>
      <c r="H220" s="388"/>
      <c r="J220" s="388"/>
      <c r="L220" s="388"/>
    </row>
    <row r="221" spans="4:12" s="112" customFormat="1" ht="12.75">
      <c r="D221" s="387"/>
      <c r="E221" s="206"/>
      <c r="F221" s="387"/>
      <c r="G221" s="206"/>
      <c r="H221" s="388"/>
      <c r="J221" s="388"/>
      <c r="L221" s="388"/>
    </row>
    <row r="222" spans="4:12" s="112" customFormat="1" ht="12.75">
      <c r="D222" s="387"/>
      <c r="E222" s="206"/>
      <c r="F222" s="387"/>
      <c r="G222" s="206"/>
      <c r="H222" s="388"/>
      <c r="J222" s="388"/>
      <c r="L222" s="388"/>
    </row>
    <row r="223" spans="4:12" s="112" customFormat="1" ht="12.75">
      <c r="D223" s="387"/>
      <c r="E223" s="206"/>
      <c r="F223" s="387"/>
      <c r="G223" s="206"/>
      <c r="H223" s="388"/>
      <c r="J223" s="388"/>
      <c r="L223" s="388"/>
    </row>
    <row r="224" spans="4:12" s="112" customFormat="1" ht="12.75">
      <c r="D224" s="387"/>
      <c r="E224" s="206"/>
      <c r="F224" s="387"/>
      <c r="G224" s="206"/>
      <c r="H224" s="388"/>
      <c r="J224" s="388"/>
      <c r="L224" s="388"/>
    </row>
    <row r="225" spans="4:12" s="112" customFormat="1" ht="12.75">
      <c r="D225" s="387"/>
      <c r="E225" s="206"/>
      <c r="F225" s="387"/>
      <c r="G225" s="206"/>
      <c r="H225" s="388"/>
      <c r="J225" s="388"/>
      <c r="L225" s="388"/>
    </row>
    <row r="226" spans="4:12" s="112" customFormat="1" ht="12.75">
      <c r="D226" s="387"/>
      <c r="E226" s="206"/>
      <c r="F226" s="387"/>
      <c r="G226" s="206"/>
      <c r="H226" s="388"/>
      <c r="J226" s="388"/>
      <c r="L226" s="388"/>
    </row>
    <row r="227" spans="4:12" s="112" customFormat="1" ht="12.75">
      <c r="D227" s="387"/>
      <c r="E227" s="206"/>
      <c r="F227" s="387"/>
      <c r="G227" s="206"/>
      <c r="H227" s="388"/>
      <c r="J227" s="388"/>
      <c r="L227" s="388"/>
    </row>
    <row r="228" spans="4:12" s="112" customFormat="1" ht="12.75">
      <c r="D228" s="387"/>
      <c r="E228" s="206"/>
      <c r="F228" s="387"/>
      <c r="G228" s="206"/>
      <c r="H228" s="388"/>
      <c r="J228" s="388"/>
      <c r="L228" s="388"/>
    </row>
    <row r="229" spans="4:12" s="112" customFormat="1" ht="12.75">
      <c r="D229" s="387"/>
      <c r="E229" s="206"/>
      <c r="F229" s="387"/>
      <c r="G229" s="206"/>
      <c r="H229" s="388"/>
      <c r="J229" s="388"/>
      <c r="L229" s="388"/>
    </row>
    <row r="230" spans="4:12" s="112" customFormat="1" ht="12.75">
      <c r="D230" s="387"/>
      <c r="E230" s="206"/>
      <c r="F230" s="387"/>
      <c r="G230" s="206"/>
      <c r="H230" s="388"/>
      <c r="J230" s="388"/>
      <c r="L230" s="388"/>
    </row>
    <row r="231" spans="4:12" s="112" customFormat="1" ht="12.75">
      <c r="D231" s="387"/>
      <c r="E231" s="206"/>
      <c r="F231" s="387"/>
      <c r="G231" s="206"/>
      <c r="H231" s="388"/>
      <c r="J231" s="388"/>
      <c r="L231" s="388"/>
    </row>
    <row r="232" spans="4:12" s="112" customFormat="1" ht="12.75">
      <c r="D232" s="387"/>
      <c r="E232" s="206"/>
      <c r="F232" s="387"/>
      <c r="G232" s="206"/>
      <c r="H232" s="388"/>
      <c r="J232" s="388"/>
      <c r="L232" s="388"/>
    </row>
    <row r="233" spans="4:12" s="112" customFormat="1" ht="12.75">
      <c r="D233" s="387"/>
      <c r="E233" s="206"/>
      <c r="F233" s="387"/>
      <c r="G233" s="206"/>
      <c r="H233" s="388"/>
      <c r="J233" s="388"/>
      <c r="L233" s="388"/>
    </row>
    <row r="234" spans="4:12" s="112" customFormat="1" ht="12.75">
      <c r="D234" s="387"/>
      <c r="E234" s="206"/>
      <c r="F234" s="387"/>
      <c r="G234" s="206"/>
      <c r="H234" s="388"/>
      <c r="J234" s="388"/>
      <c r="L234" s="388"/>
    </row>
    <row r="235" spans="4:12" s="112" customFormat="1" ht="12.75">
      <c r="D235" s="387"/>
      <c r="E235" s="206"/>
      <c r="F235" s="387"/>
      <c r="G235" s="206"/>
      <c r="H235" s="388"/>
      <c r="J235" s="388"/>
      <c r="L235" s="388"/>
    </row>
    <row r="236" spans="4:12" s="112" customFormat="1" ht="12.75">
      <c r="D236" s="387"/>
      <c r="E236" s="206"/>
      <c r="F236" s="387"/>
      <c r="G236" s="206"/>
      <c r="H236" s="388"/>
      <c r="J236" s="388"/>
      <c r="L236" s="388"/>
    </row>
    <row r="237" spans="4:12" s="112" customFormat="1" ht="12.75">
      <c r="D237" s="387"/>
      <c r="E237" s="206"/>
      <c r="F237" s="387"/>
      <c r="G237" s="206"/>
      <c r="H237" s="388"/>
      <c r="J237" s="388"/>
      <c r="L237" s="388"/>
    </row>
    <row r="238" spans="4:12" s="112" customFormat="1" ht="12.75">
      <c r="D238" s="387"/>
      <c r="E238" s="206"/>
      <c r="F238" s="387"/>
      <c r="G238" s="206"/>
      <c r="H238" s="388"/>
      <c r="J238" s="388"/>
      <c r="L238" s="388"/>
    </row>
    <row r="239" spans="4:12" s="112" customFormat="1" ht="12.75">
      <c r="D239" s="387"/>
      <c r="E239" s="206"/>
      <c r="F239" s="387"/>
      <c r="G239" s="206"/>
      <c r="H239" s="388"/>
      <c r="J239" s="388"/>
      <c r="L239" s="388"/>
    </row>
    <row r="240" spans="4:12" s="112" customFormat="1" ht="12.75">
      <c r="D240" s="387"/>
      <c r="E240" s="206"/>
      <c r="F240" s="387"/>
      <c r="G240" s="206"/>
      <c r="H240" s="388"/>
      <c r="J240" s="388"/>
      <c r="L240" s="388"/>
    </row>
    <row r="241" spans="4:12" s="112" customFormat="1" ht="12.75">
      <c r="D241" s="387"/>
      <c r="E241" s="206"/>
      <c r="F241" s="387"/>
      <c r="G241" s="206"/>
      <c r="H241" s="388"/>
      <c r="J241" s="388"/>
      <c r="L241" s="388"/>
    </row>
    <row r="242" spans="4:12" s="112" customFormat="1" ht="12.75">
      <c r="D242" s="387"/>
      <c r="E242" s="206"/>
      <c r="F242" s="387"/>
      <c r="G242" s="206"/>
      <c r="H242" s="388"/>
      <c r="J242" s="388"/>
      <c r="L242" s="388"/>
    </row>
    <row r="243" spans="4:12" s="112" customFormat="1" ht="12.75">
      <c r="D243" s="387"/>
      <c r="E243" s="206"/>
      <c r="F243" s="387"/>
      <c r="G243" s="206"/>
      <c r="H243" s="388"/>
      <c r="J243" s="388"/>
      <c r="L243" s="388"/>
    </row>
    <row r="244" spans="4:12" s="112" customFormat="1" ht="12.75">
      <c r="D244" s="387"/>
      <c r="E244" s="206"/>
      <c r="F244" s="387"/>
      <c r="G244" s="206"/>
      <c r="H244" s="388"/>
      <c r="J244" s="388"/>
      <c r="L244" s="388"/>
    </row>
    <row r="245" spans="4:12" s="112" customFormat="1" ht="12.75">
      <c r="D245" s="387"/>
      <c r="E245" s="206"/>
      <c r="F245" s="387"/>
      <c r="G245" s="206"/>
      <c r="H245" s="388"/>
      <c r="J245" s="388"/>
      <c r="L245" s="388"/>
    </row>
    <row r="246" spans="4:12" s="112" customFormat="1" ht="12.75">
      <c r="D246" s="387"/>
      <c r="E246" s="206"/>
      <c r="F246" s="387"/>
      <c r="G246" s="206"/>
      <c r="H246" s="388"/>
      <c r="J246" s="388"/>
      <c r="L246" s="388"/>
    </row>
    <row r="247" spans="4:12" s="112" customFormat="1" ht="12.75">
      <c r="D247" s="387"/>
      <c r="E247" s="206"/>
      <c r="F247" s="387"/>
      <c r="G247" s="206"/>
      <c r="H247" s="388"/>
      <c r="J247" s="388"/>
      <c r="L247" s="388"/>
    </row>
    <row r="248" spans="4:12" s="112" customFormat="1" ht="12.75">
      <c r="D248" s="387"/>
      <c r="E248" s="206"/>
      <c r="F248" s="387"/>
      <c r="G248" s="206"/>
      <c r="H248" s="388"/>
      <c r="J248" s="388"/>
      <c r="L248" s="388"/>
    </row>
    <row r="249" spans="4:12" s="112" customFormat="1" ht="12.75">
      <c r="D249" s="387"/>
      <c r="E249" s="206"/>
      <c r="F249" s="387"/>
      <c r="G249" s="206"/>
      <c r="H249" s="388"/>
      <c r="J249" s="388"/>
      <c r="L249" s="388"/>
    </row>
    <row r="250" spans="4:12" s="112" customFormat="1" ht="12.75">
      <c r="D250" s="387"/>
      <c r="E250" s="206"/>
      <c r="F250" s="387"/>
      <c r="G250" s="206"/>
      <c r="H250" s="388"/>
      <c r="J250" s="388"/>
      <c r="L250" s="388"/>
    </row>
    <row r="251" spans="4:12" s="112" customFormat="1" ht="12.75">
      <c r="D251" s="387"/>
      <c r="E251" s="206"/>
      <c r="F251" s="387"/>
      <c r="G251" s="206"/>
      <c r="H251" s="388"/>
      <c r="J251" s="388"/>
      <c r="L251" s="388"/>
    </row>
    <row r="252" spans="4:12" s="112" customFormat="1" ht="12.75">
      <c r="D252" s="387"/>
      <c r="E252" s="206"/>
      <c r="F252" s="387"/>
      <c r="G252" s="206"/>
      <c r="H252" s="388"/>
      <c r="J252" s="388"/>
      <c r="L252" s="388"/>
    </row>
    <row r="253" spans="4:12" s="112" customFormat="1" ht="12.75">
      <c r="D253" s="387"/>
      <c r="E253" s="206"/>
      <c r="F253" s="387"/>
      <c r="G253" s="206"/>
      <c r="H253" s="388"/>
      <c r="J253" s="388"/>
      <c r="L253" s="388"/>
    </row>
    <row r="254" spans="4:12" s="112" customFormat="1" ht="12.75">
      <c r="D254" s="387"/>
      <c r="E254" s="206"/>
      <c r="F254" s="387"/>
      <c r="G254" s="206"/>
      <c r="H254" s="388"/>
      <c r="J254" s="388"/>
      <c r="L254" s="388"/>
    </row>
    <row r="255" spans="4:12" s="112" customFormat="1" ht="12.75">
      <c r="D255" s="387"/>
      <c r="E255" s="206"/>
      <c r="F255" s="387"/>
      <c r="G255" s="206"/>
      <c r="H255" s="388"/>
      <c r="J255" s="388"/>
      <c r="L255" s="388"/>
    </row>
    <row r="256" spans="4:12" s="112" customFormat="1" ht="12.75">
      <c r="D256" s="387"/>
      <c r="E256" s="206"/>
      <c r="F256" s="387"/>
      <c r="G256" s="206"/>
      <c r="H256" s="388"/>
      <c r="J256" s="388"/>
      <c r="L256" s="388"/>
    </row>
    <row r="257" spans="4:12" s="112" customFormat="1" ht="12.75">
      <c r="D257" s="387"/>
      <c r="E257" s="206"/>
      <c r="F257" s="387"/>
      <c r="G257" s="206"/>
      <c r="H257" s="388"/>
      <c r="J257" s="388"/>
      <c r="L257" s="388"/>
    </row>
    <row r="258" spans="4:12" s="112" customFormat="1" ht="12.75">
      <c r="D258" s="387"/>
      <c r="E258" s="206"/>
      <c r="F258" s="387"/>
      <c r="G258" s="206"/>
      <c r="H258" s="388"/>
      <c r="J258" s="388"/>
      <c r="L258" s="388"/>
    </row>
    <row r="259" spans="4:12" s="112" customFormat="1" ht="12.75">
      <c r="D259" s="387"/>
      <c r="E259" s="206"/>
      <c r="F259" s="387"/>
      <c r="G259" s="206"/>
      <c r="H259" s="388"/>
      <c r="J259" s="388"/>
      <c r="L259" s="388"/>
    </row>
    <row r="260" spans="4:12" s="112" customFormat="1" ht="12.75">
      <c r="D260" s="387"/>
      <c r="E260" s="206"/>
      <c r="F260" s="387"/>
      <c r="G260" s="206"/>
      <c r="H260" s="388"/>
      <c r="J260" s="388"/>
      <c r="L260" s="388"/>
    </row>
    <row r="261" spans="4:12" s="112" customFormat="1" ht="12.75">
      <c r="D261" s="387"/>
      <c r="E261" s="206"/>
      <c r="F261" s="387"/>
      <c r="G261" s="206"/>
      <c r="H261" s="388"/>
      <c r="J261" s="388"/>
      <c r="L261" s="388"/>
    </row>
    <row r="262" spans="4:12" s="112" customFormat="1" ht="12.75">
      <c r="D262" s="387"/>
      <c r="E262" s="206"/>
      <c r="F262" s="387"/>
      <c r="G262" s="206"/>
      <c r="H262" s="388"/>
      <c r="J262" s="388"/>
      <c r="L262" s="388"/>
    </row>
    <row r="263" spans="4:12" s="112" customFormat="1" ht="12.75">
      <c r="D263" s="387"/>
      <c r="E263" s="206"/>
      <c r="F263" s="387"/>
      <c r="G263" s="206"/>
      <c r="H263" s="388"/>
      <c r="J263" s="388"/>
      <c r="L263" s="388"/>
    </row>
    <row r="264" spans="4:12" s="112" customFormat="1" ht="12.75">
      <c r="D264" s="387"/>
      <c r="E264" s="206"/>
      <c r="F264" s="387"/>
      <c r="G264" s="206"/>
      <c r="H264" s="388"/>
      <c r="J264" s="388"/>
      <c r="L264" s="388"/>
    </row>
    <row r="265" spans="4:12" s="112" customFormat="1" ht="12.75">
      <c r="D265" s="387"/>
      <c r="E265" s="206"/>
      <c r="F265" s="387"/>
      <c r="G265" s="206"/>
      <c r="H265" s="388"/>
      <c r="J265" s="388"/>
      <c r="L265" s="388"/>
    </row>
    <row r="266" spans="4:12" s="112" customFormat="1" ht="12.75">
      <c r="D266" s="387"/>
      <c r="E266" s="206"/>
      <c r="F266" s="387"/>
      <c r="G266" s="206"/>
      <c r="H266" s="388"/>
      <c r="J266" s="388"/>
      <c r="L266" s="388"/>
    </row>
    <row r="267" spans="4:12" s="112" customFormat="1" ht="12.75">
      <c r="D267" s="387"/>
      <c r="E267" s="206"/>
      <c r="F267" s="387"/>
      <c r="G267" s="206"/>
      <c r="H267" s="388"/>
      <c r="J267" s="388"/>
      <c r="L267" s="388"/>
    </row>
    <row r="268" spans="4:12" s="112" customFormat="1" ht="12.75">
      <c r="D268" s="387"/>
      <c r="E268" s="206"/>
      <c r="F268" s="387"/>
      <c r="G268" s="206"/>
      <c r="H268" s="388"/>
      <c r="J268" s="388"/>
      <c r="L268" s="388"/>
    </row>
    <row r="269" spans="4:12" s="112" customFormat="1" ht="12.75">
      <c r="D269" s="387"/>
      <c r="E269" s="206"/>
      <c r="F269" s="387"/>
      <c r="G269" s="206"/>
      <c r="H269" s="388"/>
      <c r="J269" s="388"/>
      <c r="L269" s="388"/>
    </row>
    <row r="270" spans="4:12" s="112" customFormat="1" ht="12.75">
      <c r="D270" s="387"/>
      <c r="E270" s="206"/>
      <c r="F270" s="387"/>
      <c r="G270" s="206"/>
      <c r="H270" s="388"/>
      <c r="J270" s="388"/>
      <c r="L270" s="388"/>
    </row>
    <row r="271" spans="4:12" s="112" customFormat="1" ht="12.75">
      <c r="D271" s="387"/>
      <c r="E271" s="206"/>
      <c r="F271" s="387"/>
      <c r="G271" s="206"/>
      <c r="H271" s="388"/>
      <c r="J271" s="388"/>
      <c r="L271" s="388"/>
    </row>
    <row r="272" spans="4:12" s="112" customFormat="1" ht="12.75">
      <c r="D272" s="387"/>
      <c r="E272" s="206"/>
      <c r="F272" s="387"/>
      <c r="G272" s="206"/>
      <c r="H272" s="388"/>
      <c r="J272" s="388"/>
      <c r="L272" s="388"/>
    </row>
    <row r="273" spans="4:12" s="112" customFormat="1" ht="12.75">
      <c r="D273" s="387"/>
      <c r="E273" s="206"/>
      <c r="F273" s="387"/>
      <c r="G273" s="206"/>
      <c r="H273" s="388"/>
      <c r="J273" s="388"/>
      <c r="L273" s="388"/>
    </row>
    <row r="274" spans="4:12" s="112" customFormat="1" ht="12.75">
      <c r="D274" s="387"/>
      <c r="E274" s="206"/>
      <c r="F274" s="387"/>
      <c r="G274" s="206"/>
      <c r="H274" s="388"/>
      <c r="J274" s="388"/>
      <c r="L274" s="388"/>
    </row>
    <row r="275" spans="4:12" s="112" customFormat="1" ht="12.75">
      <c r="D275" s="387"/>
      <c r="E275" s="206"/>
      <c r="F275" s="387"/>
      <c r="G275" s="206"/>
      <c r="H275" s="388"/>
      <c r="J275" s="388"/>
      <c r="L275" s="388"/>
    </row>
    <row r="276" spans="4:12" s="112" customFormat="1" ht="12.75">
      <c r="D276" s="387"/>
      <c r="E276" s="206"/>
      <c r="F276" s="387"/>
      <c r="G276" s="206"/>
      <c r="H276" s="388"/>
      <c r="J276" s="388"/>
      <c r="L276" s="388"/>
    </row>
    <row r="277" spans="4:12" s="112" customFormat="1" ht="12.75">
      <c r="D277" s="387"/>
      <c r="E277" s="206"/>
      <c r="F277" s="387"/>
      <c r="G277" s="206"/>
      <c r="H277" s="388"/>
      <c r="J277" s="388"/>
      <c r="L277" s="388"/>
    </row>
    <row r="278" spans="4:12" s="112" customFormat="1" ht="12.75">
      <c r="D278" s="387"/>
      <c r="E278" s="206"/>
      <c r="F278" s="387"/>
      <c r="G278" s="206"/>
      <c r="H278" s="388"/>
      <c r="J278" s="388"/>
      <c r="L278" s="388"/>
    </row>
    <row r="279" spans="4:12" s="112" customFormat="1" ht="12.75">
      <c r="D279" s="387"/>
      <c r="E279" s="206"/>
      <c r="F279" s="387"/>
      <c r="G279" s="206"/>
      <c r="H279" s="388"/>
      <c r="J279" s="388"/>
      <c r="L279" s="388"/>
    </row>
    <row r="280" spans="4:12" s="112" customFormat="1" ht="12.75">
      <c r="D280" s="387"/>
      <c r="E280" s="206"/>
      <c r="F280" s="387"/>
      <c r="G280" s="206"/>
      <c r="H280" s="388"/>
      <c r="J280" s="388"/>
      <c r="L280" s="388"/>
    </row>
    <row r="281" spans="4:12" s="112" customFormat="1" ht="12.75">
      <c r="D281" s="387"/>
      <c r="E281" s="206"/>
      <c r="F281" s="387"/>
      <c r="G281" s="206"/>
      <c r="H281" s="388"/>
      <c r="J281" s="388"/>
      <c r="L281" s="388"/>
    </row>
    <row r="282" spans="4:12" s="112" customFormat="1" ht="12.75">
      <c r="D282" s="387"/>
      <c r="E282" s="206"/>
      <c r="F282" s="387"/>
      <c r="G282" s="206"/>
      <c r="H282" s="388"/>
      <c r="J282" s="388"/>
      <c r="L282" s="388"/>
    </row>
    <row r="283" spans="4:12" s="112" customFormat="1" ht="12.75">
      <c r="D283" s="387"/>
      <c r="E283" s="206"/>
      <c r="F283" s="387"/>
      <c r="G283" s="206"/>
      <c r="H283" s="388"/>
      <c r="J283" s="388"/>
      <c r="L283" s="388"/>
    </row>
    <row r="284" spans="4:12" s="112" customFormat="1" ht="12.75">
      <c r="D284" s="387"/>
      <c r="E284" s="206"/>
      <c r="F284" s="387"/>
      <c r="G284" s="206"/>
      <c r="H284" s="388"/>
      <c r="J284" s="388"/>
      <c r="L284" s="388"/>
    </row>
    <row r="285" spans="4:12" s="112" customFormat="1" ht="12.75">
      <c r="D285" s="387"/>
      <c r="E285" s="206"/>
      <c r="F285" s="387"/>
      <c r="G285" s="206"/>
      <c r="H285" s="388"/>
      <c r="J285" s="388"/>
      <c r="L285" s="388"/>
    </row>
    <row r="286" spans="4:12" s="112" customFormat="1" ht="12.75">
      <c r="D286" s="387"/>
      <c r="E286" s="206"/>
      <c r="F286" s="387"/>
      <c r="G286" s="206"/>
      <c r="H286" s="388"/>
      <c r="J286" s="388"/>
      <c r="L286" s="388"/>
    </row>
    <row r="287" spans="4:12" s="112" customFormat="1" ht="12.75">
      <c r="D287" s="387"/>
      <c r="E287" s="206"/>
      <c r="F287" s="387"/>
      <c r="G287" s="206"/>
      <c r="H287" s="388"/>
      <c r="J287" s="388"/>
      <c r="L287" s="388"/>
    </row>
    <row r="288" spans="4:12" s="112" customFormat="1" ht="12.75">
      <c r="D288" s="387"/>
      <c r="E288" s="206"/>
      <c r="F288" s="387"/>
      <c r="G288" s="206"/>
      <c r="H288" s="388"/>
      <c r="J288" s="388"/>
      <c r="L288" s="388"/>
    </row>
    <row r="289" spans="4:12" s="112" customFormat="1" ht="12.75">
      <c r="D289" s="387"/>
      <c r="E289" s="206"/>
      <c r="F289" s="387"/>
      <c r="G289" s="206"/>
      <c r="H289" s="388"/>
      <c r="J289" s="388"/>
      <c r="L289" s="388"/>
    </row>
    <row r="290" spans="4:12" s="112" customFormat="1" ht="12.75">
      <c r="D290" s="387"/>
      <c r="E290" s="206"/>
      <c r="F290" s="387"/>
      <c r="G290" s="206"/>
      <c r="H290" s="388"/>
      <c r="J290" s="388"/>
      <c r="L290" s="388"/>
    </row>
    <row r="291" spans="4:12" s="112" customFormat="1" ht="12.75">
      <c r="D291" s="387"/>
      <c r="E291" s="206"/>
      <c r="F291" s="387"/>
      <c r="G291" s="206"/>
      <c r="H291" s="388"/>
      <c r="J291" s="388"/>
      <c r="L291" s="388"/>
    </row>
    <row r="292" spans="4:12" s="112" customFormat="1" ht="12.75">
      <c r="D292" s="387"/>
      <c r="E292" s="206"/>
      <c r="F292" s="387"/>
      <c r="G292" s="206"/>
      <c r="H292" s="388"/>
      <c r="J292" s="388"/>
      <c r="L292" s="388"/>
    </row>
    <row r="293" spans="4:12" s="112" customFormat="1" ht="12.75">
      <c r="D293" s="387"/>
      <c r="E293" s="206"/>
      <c r="F293" s="387"/>
      <c r="G293" s="206"/>
      <c r="H293" s="388"/>
      <c r="J293" s="388"/>
      <c r="L293" s="388"/>
    </row>
    <row r="294" spans="4:12" s="112" customFormat="1" ht="12.75">
      <c r="D294" s="387"/>
      <c r="E294" s="206"/>
      <c r="F294" s="387"/>
      <c r="G294" s="206"/>
      <c r="H294" s="388"/>
      <c r="J294" s="388"/>
      <c r="L294" s="388"/>
    </row>
    <row r="295" spans="4:12" s="112" customFormat="1" ht="12.75">
      <c r="D295" s="387"/>
      <c r="E295" s="206"/>
      <c r="F295" s="387"/>
      <c r="G295" s="206"/>
      <c r="H295" s="388"/>
      <c r="J295" s="388"/>
      <c r="L295" s="388"/>
    </row>
    <row r="296" spans="4:12" s="112" customFormat="1" ht="12.75">
      <c r="D296" s="387"/>
      <c r="E296" s="206"/>
      <c r="F296" s="387"/>
      <c r="G296" s="206"/>
      <c r="H296" s="388"/>
      <c r="J296" s="388"/>
      <c r="L296" s="388"/>
    </row>
    <row r="297" spans="4:12" s="112" customFormat="1" ht="12.75">
      <c r="D297" s="387"/>
      <c r="E297" s="206"/>
      <c r="F297" s="387"/>
      <c r="G297" s="206"/>
      <c r="H297" s="388"/>
      <c r="J297" s="388"/>
      <c r="L297" s="388"/>
    </row>
    <row r="298" spans="4:12" s="112" customFormat="1" ht="12.75">
      <c r="D298" s="387"/>
      <c r="E298" s="206"/>
      <c r="F298" s="387"/>
      <c r="G298" s="206"/>
      <c r="H298" s="388"/>
      <c r="J298" s="388"/>
      <c r="L298" s="388"/>
    </row>
    <row r="299" spans="4:12" s="112" customFormat="1" ht="12.75">
      <c r="D299" s="387"/>
      <c r="E299" s="206"/>
      <c r="F299" s="387"/>
      <c r="G299" s="206"/>
      <c r="H299" s="388"/>
      <c r="J299" s="388"/>
      <c r="L299" s="388"/>
    </row>
    <row r="300" spans="4:12" s="112" customFormat="1" ht="12.75">
      <c r="D300" s="387"/>
      <c r="E300" s="206"/>
      <c r="F300" s="387"/>
      <c r="G300" s="206"/>
      <c r="H300" s="388"/>
      <c r="J300" s="388"/>
      <c r="L300" s="388"/>
    </row>
    <row r="301" spans="4:12" s="112" customFormat="1" ht="12.75">
      <c r="D301" s="387"/>
      <c r="E301" s="206"/>
      <c r="F301" s="387"/>
      <c r="G301" s="206"/>
      <c r="H301" s="388"/>
      <c r="J301" s="388"/>
      <c r="L301" s="388"/>
    </row>
    <row r="302" spans="4:12" s="112" customFormat="1" ht="12.75">
      <c r="D302" s="387"/>
      <c r="E302" s="206"/>
      <c r="F302" s="387"/>
      <c r="G302" s="206"/>
      <c r="H302" s="388"/>
      <c r="J302" s="388"/>
      <c r="L302" s="388"/>
    </row>
    <row r="303" spans="4:12" s="112" customFormat="1" ht="12.75">
      <c r="D303" s="387"/>
      <c r="E303" s="206"/>
      <c r="F303" s="387"/>
      <c r="G303" s="206"/>
      <c r="H303" s="388"/>
      <c r="J303" s="388"/>
      <c r="L303" s="388"/>
    </row>
    <row r="304" spans="4:12" s="112" customFormat="1" ht="12.75">
      <c r="D304" s="387"/>
      <c r="E304" s="206"/>
      <c r="F304" s="387"/>
      <c r="G304" s="206"/>
      <c r="H304" s="388"/>
      <c r="J304" s="388"/>
      <c r="L304" s="388"/>
    </row>
    <row r="305" spans="4:12" s="112" customFormat="1" ht="12.75">
      <c r="D305" s="387"/>
      <c r="E305" s="206"/>
      <c r="F305" s="387"/>
      <c r="G305" s="206"/>
      <c r="H305" s="388"/>
      <c r="J305" s="388"/>
      <c r="L305" s="388"/>
    </row>
    <row r="306" spans="4:12" s="112" customFormat="1" ht="12.75">
      <c r="D306" s="387"/>
      <c r="E306" s="206"/>
      <c r="F306" s="387"/>
      <c r="G306" s="206"/>
      <c r="H306" s="388"/>
      <c r="J306" s="388"/>
      <c r="L306" s="388"/>
    </row>
    <row r="307" spans="4:12" s="112" customFormat="1" ht="12.75">
      <c r="D307" s="387"/>
      <c r="E307" s="206"/>
      <c r="F307" s="387"/>
      <c r="G307" s="206"/>
      <c r="H307" s="388"/>
      <c r="J307" s="388"/>
      <c r="L307" s="388"/>
    </row>
    <row r="308" spans="4:12" s="112" customFormat="1" ht="12.75">
      <c r="D308" s="387"/>
      <c r="E308" s="206"/>
      <c r="F308" s="387"/>
      <c r="G308" s="206"/>
      <c r="H308" s="388"/>
      <c r="J308" s="388"/>
      <c r="L308" s="388"/>
    </row>
    <row r="309" spans="4:12" s="112" customFormat="1" ht="12.75">
      <c r="D309" s="387"/>
      <c r="E309" s="206"/>
      <c r="F309" s="387"/>
      <c r="G309" s="206"/>
      <c r="H309" s="388"/>
      <c r="J309" s="388"/>
      <c r="L309" s="388"/>
    </row>
    <row r="310" spans="4:12" s="112" customFormat="1" ht="12.75">
      <c r="D310" s="387"/>
      <c r="E310" s="206"/>
      <c r="F310" s="387"/>
      <c r="G310" s="206"/>
      <c r="H310" s="388"/>
      <c r="J310" s="388"/>
      <c r="L310" s="388"/>
    </row>
    <row r="311" spans="4:12" s="112" customFormat="1" ht="12.75">
      <c r="D311" s="387"/>
      <c r="E311" s="206"/>
      <c r="F311" s="387"/>
      <c r="G311" s="206"/>
      <c r="H311" s="388"/>
      <c r="J311" s="388"/>
      <c r="L311" s="388"/>
    </row>
    <row r="312" spans="4:12" s="112" customFormat="1" ht="12.75">
      <c r="D312" s="387"/>
      <c r="E312" s="206"/>
      <c r="F312" s="387"/>
      <c r="G312" s="206"/>
      <c r="H312" s="388"/>
      <c r="J312" s="388"/>
      <c r="L312" s="388"/>
    </row>
    <row r="313" spans="4:12" s="112" customFormat="1" ht="12.75">
      <c r="D313" s="387"/>
      <c r="E313" s="206"/>
      <c r="F313" s="387"/>
      <c r="G313" s="206"/>
      <c r="H313" s="388"/>
      <c r="J313" s="388"/>
      <c r="L313" s="388"/>
    </row>
    <row r="314" spans="4:12" s="112" customFormat="1" ht="12.75">
      <c r="D314" s="387"/>
      <c r="E314" s="206"/>
      <c r="F314" s="387"/>
      <c r="G314" s="206"/>
      <c r="H314" s="388"/>
      <c r="J314" s="388"/>
      <c r="L314" s="388"/>
    </row>
    <row r="315" spans="4:12" s="112" customFormat="1" ht="12.75">
      <c r="D315" s="387"/>
      <c r="E315" s="206"/>
      <c r="F315" s="387"/>
      <c r="G315" s="206"/>
      <c r="H315" s="388"/>
      <c r="J315" s="388"/>
      <c r="L315" s="388"/>
    </row>
    <row r="316" spans="4:12" s="112" customFormat="1" ht="12.75">
      <c r="D316" s="387"/>
      <c r="E316" s="206"/>
      <c r="F316" s="387"/>
      <c r="G316" s="206"/>
      <c r="H316" s="388"/>
      <c r="J316" s="388"/>
      <c r="L316" s="388"/>
    </row>
    <row r="317" spans="4:12" s="112" customFormat="1" ht="12.75">
      <c r="D317" s="387"/>
      <c r="E317" s="206"/>
      <c r="F317" s="387"/>
      <c r="G317" s="206"/>
      <c r="H317" s="388"/>
      <c r="J317" s="388"/>
      <c r="L317" s="388"/>
    </row>
    <row r="318" spans="4:12" s="112" customFormat="1" ht="12.75">
      <c r="D318" s="387"/>
      <c r="E318" s="206"/>
      <c r="F318" s="387"/>
      <c r="G318" s="206"/>
      <c r="H318" s="388"/>
      <c r="J318" s="388"/>
      <c r="L318" s="388"/>
    </row>
    <row r="319" spans="4:12" s="112" customFormat="1" ht="12.75">
      <c r="D319" s="387"/>
      <c r="E319" s="206"/>
      <c r="F319" s="387"/>
      <c r="G319" s="206"/>
      <c r="H319" s="388"/>
      <c r="J319" s="388"/>
      <c r="L319" s="388"/>
    </row>
    <row r="320" spans="4:12" s="112" customFormat="1" ht="12.75">
      <c r="D320" s="387"/>
      <c r="E320" s="206"/>
      <c r="F320" s="387"/>
      <c r="G320" s="206"/>
      <c r="H320" s="388"/>
      <c r="J320" s="388"/>
      <c r="L320" s="388"/>
    </row>
    <row r="321" spans="4:12" s="112" customFormat="1" ht="12.75">
      <c r="D321" s="387"/>
      <c r="E321" s="206"/>
      <c r="F321" s="387"/>
      <c r="G321" s="206"/>
      <c r="H321" s="388"/>
      <c r="J321" s="388"/>
      <c r="L321" s="388"/>
    </row>
    <row r="322" spans="4:12" s="112" customFormat="1" ht="12.75">
      <c r="D322" s="387"/>
      <c r="E322" s="206"/>
      <c r="F322" s="387"/>
      <c r="G322" s="206"/>
      <c r="H322" s="388"/>
      <c r="J322" s="388"/>
      <c r="L322" s="388"/>
    </row>
    <row r="323" spans="4:12" s="112" customFormat="1" ht="12.75">
      <c r="D323" s="387"/>
      <c r="E323" s="206"/>
      <c r="F323" s="387"/>
      <c r="G323" s="206"/>
      <c r="H323" s="388"/>
      <c r="J323" s="388"/>
      <c r="L323" s="388"/>
    </row>
    <row r="324" spans="4:12" s="112" customFormat="1" ht="12.75">
      <c r="D324" s="387"/>
      <c r="E324" s="206"/>
      <c r="F324" s="387"/>
      <c r="G324" s="206"/>
      <c r="H324" s="388"/>
      <c r="J324" s="388"/>
      <c r="L324" s="388"/>
    </row>
    <row r="325" spans="4:12" s="112" customFormat="1" ht="12.75">
      <c r="D325" s="387"/>
      <c r="E325" s="206"/>
      <c r="F325" s="387"/>
      <c r="G325" s="206"/>
      <c r="H325" s="388"/>
      <c r="J325" s="388"/>
      <c r="L325" s="388"/>
    </row>
    <row r="326" spans="4:12" s="112" customFormat="1" ht="12.75">
      <c r="D326" s="387"/>
      <c r="E326" s="206"/>
      <c r="F326" s="387"/>
      <c r="G326" s="206"/>
      <c r="H326" s="388"/>
      <c r="J326" s="388"/>
      <c r="L326" s="388"/>
    </row>
    <row r="327" spans="4:12" s="112" customFormat="1" ht="12.75">
      <c r="D327" s="387"/>
      <c r="E327" s="206"/>
      <c r="F327" s="387"/>
      <c r="G327" s="206"/>
      <c r="H327" s="388"/>
      <c r="J327" s="388"/>
      <c r="L327" s="388"/>
    </row>
    <row r="328" spans="4:12" s="112" customFormat="1" ht="12.75">
      <c r="D328" s="387"/>
      <c r="E328" s="206"/>
      <c r="F328" s="387"/>
      <c r="G328" s="206"/>
      <c r="H328" s="388"/>
      <c r="J328" s="388"/>
      <c r="L328" s="388"/>
    </row>
    <row r="329" spans="4:12" s="112" customFormat="1" ht="12.75">
      <c r="D329" s="387"/>
      <c r="E329" s="206"/>
      <c r="F329" s="387"/>
      <c r="G329" s="206"/>
      <c r="H329" s="388"/>
      <c r="J329" s="388"/>
      <c r="L329" s="388"/>
    </row>
    <row r="330" spans="4:12" s="112" customFormat="1" ht="12.75">
      <c r="D330" s="387"/>
      <c r="E330" s="206"/>
      <c r="F330" s="387"/>
      <c r="G330" s="206"/>
      <c r="H330" s="388"/>
      <c r="J330" s="388"/>
      <c r="L330" s="388"/>
    </row>
    <row r="331" spans="4:12" s="112" customFormat="1" ht="12.75">
      <c r="D331" s="387"/>
      <c r="E331" s="206"/>
      <c r="F331" s="387"/>
      <c r="G331" s="206"/>
      <c r="H331" s="388"/>
      <c r="J331" s="388"/>
      <c r="L331" s="388"/>
    </row>
    <row r="332" spans="4:12" s="112" customFormat="1" ht="12.75">
      <c r="D332" s="387"/>
      <c r="E332" s="206"/>
      <c r="F332" s="387"/>
      <c r="G332" s="206"/>
      <c r="H332" s="388"/>
      <c r="J332" s="388"/>
      <c r="L332" s="388"/>
    </row>
    <row r="333" spans="4:12" s="112" customFormat="1" ht="12.75">
      <c r="D333" s="387"/>
      <c r="E333" s="206"/>
      <c r="F333" s="387"/>
      <c r="G333" s="206"/>
      <c r="H333" s="388"/>
      <c r="J333" s="388"/>
      <c r="L333" s="388"/>
    </row>
    <row r="334" spans="4:12" s="112" customFormat="1" ht="12.75">
      <c r="D334" s="387"/>
      <c r="E334" s="206"/>
      <c r="F334" s="387"/>
      <c r="G334" s="206"/>
      <c r="H334" s="388"/>
      <c r="J334" s="388"/>
      <c r="L334" s="388"/>
    </row>
    <row r="335" spans="4:12" s="112" customFormat="1" ht="12.75">
      <c r="D335" s="387"/>
      <c r="E335" s="206"/>
      <c r="F335" s="387"/>
      <c r="G335" s="206"/>
      <c r="H335" s="388"/>
      <c r="J335" s="388"/>
      <c r="L335" s="388"/>
    </row>
    <row r="336" spans="4:12" s="112" customFormat="1" ht="12.75">
      <c r="D336" s="387"/>
      <c r="E336" s="206"/>
      <c r="F336" s="387"/>
      <c r="G336" s="206"/>
      <c r="H336" s="388"/>
      <c r="J336" s="388"/>
      <c r="L336" s="388"/>
    </row>
    <row r="337" spans="4:12" s="112" customFormat="1" ht="12.75">
      <c r="D337" s="387"/>
      <c r="E337" s="206"/>
      <c r="F337" s="387"/>
      <c r="G337" s="206"/>
      <c r="H337" s="388"/>
      <c r="J337" s="388"/>
      <c r="L337" s="388"/>
    </row>
    <row r="338" spans="4:12" s="112" customFormat="1" ht="12.75">
      <c r="D338" s="387"/>
      <c r="E338" s="206"/>
      <c r="F338" s="387"/>
      <c r="G338" s="206"/>
      <c r="H338" s="388"/>
      <c r="J338" s="388"/>
      <c r="L338" s="388"/>
    </row>
    <row r="339" spans="4:12" s="112" customFormat="1" ht="12.75">
      <c r="D339" s="387"/>
      <c r="E339" s="206"/>
      <c r="F339" s="387"/>
      <c r="G339" s="206"/>
      <c r="H339" s="388"/>
      <c r="J339" s="388"/>
      <c r="L339" s="388"/>
    </row>
    <row r="340" spans="4:12" s="112" customFormat="1" ht="12.75">
      <c r="D340" s="387"/>
      <c r="E340" s="206"/>
      <c r="F340" s="387"/>
      <c r="G340" s="206"/>
      <c r="H340" s="388"/>
      <c r="J340" s="388"/>
      <c r="L340" s="388"/>
    </row>
    <row r="341" spans="4:12" s="112" customFormat="1" ht="12.75">
      <c r="D341" s="387"/>
      <c r="E341" s="206"/>
      <c r="F341" s="387"/>
      <c r="G341" s="206"/>
      <c r="H341" s="388"/>
      <c r="J341" s="388"/>
      <c r="L341" s="388"/>
    </row>
    <row r="342" spans="4:12" s="112" customFormat="1" ht="12.75">
      <c r="D342" s="387"/>
      <c r="E342" s="206"/>
      <c r="F342" s="387"/>
      <c r="G342" s="206"/>
      <c r="H342" s="388"/>
      <c r="J342" s="388"/>
      <c r="L342" s="388"/>
    </row>
    <row r="343" spans="4:12" s="112" customFormat="1" ht="12.75">
      <c r="D343" s="387"/>
      <c r="E343" s="206"/>
      <c r="F343" s="387"/>
      <c r="G343" s="206"/>
      <c r="H343" s="388"/>
      <c r="J343" s="388"/>
      <c r="L343" s="388"/>
    </row>
    <row r="344" spans="4:12" s="112" customFormat="1" ht="12.75">
      <c r="D344" s="387"/>
      <c r="E344" s="206"/>
      <c r="F344" s="387"/>
      <c r="G344" s="206"/>
      <c r="H344" s="388"/>
      <c r="J344" s="388"/>
      <c r="L344" s="388"/>
    </row>
    <row r="345" spans="4:12" s="112" customFormat="1" ht="12.75">
      <c r="D345" s="387"/>
      <c r="E345" s="206"/>
      <c r="F345" s="387"/>
      <c r="G345" s="206"/>
      <c r="H345" s="388"/>
      <c r="J345" s="388"/>
      <c r="L345" s="388"/>
    </row>
    <row r="346" spans="4:12" s="112" customFormat="1" ht="12.75">
      <c r="D346" s="387"/>
      <c r="E346" s="206"/>
      <c r="F346" s="387"/>
      <c r="G346" s="206"/>
      <c r="H346" s="388"/>
      <c r="J346" s="388"/>
      <c r="L346" s="388"/>
    </row>
    <row r="347" spans="4:12" s="112" customFormat="1" ht="12.75">
      <c r="D347" s="387"/>
      <c r="E347" s="206"/>
      <c r="F347" s="387"/>
      <c r="G347" s="206"/>
      <c r="H347" s="388"/>
      <c r="J347" s="388"/>
      <c r="L347" s="388"/>
    </row>
    <row r="348" spans="4:12" s="112" customFormat="1" ht="12.75">
      <c r="D348" s="387"/>
      <c r="E348" s="206"/>
      <c r="F348" s="387"/>
      <c r="G348" s="206"/>
      <c r="H348" s="388"/>
      <c r="J348" s="388"/>
      <c r="L348" s="388"/>
    </row>
    <row r="349" spans="4:12" s="112" customFormat="1" ht="12.75">
      <c r="D349" s="387"/>
      <c r="E349" s="206"/>
      <c r="F349" s="387"/>
      <c r="G349" s="206"/>
      <c r="H349" s="388"/>
      <c r="J349" s="388"/>
      <c r="L349" s="388"/>
    </row>
    <row r="350" spans="4:12" s="112" customFormat="1" ht="12.75">
      <c r="D350" s="387"/>
      <c r="E350" s="206"/>
      <c r="F350" s="387"/>
      <c r="G350" s="206"/>
      <c r="H350" s="388"/>
      <c r="J350" s="388"/>
      <c r="L350" s="388"/>
    </row>
    <row r="351" spans="4:12" s="112" customFormat="1" ht="12.75">
      <c r="D351" s="387"/>
      <c r="E351" s="206"/>
      <c r="F351" s="387"/>
      <c r="G351" s="206"/>
      <c r="H351" s="388"/>
      <c r="J351" s="388"/>
      <c r="L351" s="388"/>
    </row>
    <row r="352" spans="4:12" s="112" customFormat="1" ht="12.75">
      <c r="D352" s="387"/>
      <c r="E352" s="206"/>
      <c r="F352" s="387"/>
      <c r="G352" s="206"/>
      <c r="H352" s="388"/>
      <c r="J352" s="388"/>
      <c r="L352" s="388"/>
    </row>
    <row r="353" spans="4:12" s="112" customFormat="1" ht="12.75">
      <c r="D353" s="387"/>
      <c r="E353" s="206"/>
      <c r="F353" s="387"/>
      <c r="G353" s="206"/>
      <c r="H353" s="388"/>
      <c r="J353" s="388"/>
      <c r="L353" s="388"/>
    </row>
    <row r="354" spans="4:12" s="112" customFormat="1" ht="12.75">
      <c r="D354" s="387"/>
      <c r="E354" s="206"/>
      <c r="F354" s="387"/>
      <c r="G354" s="206"/>
      <c r="H354" s="388"/>
      <c r="J354" s="388"/>
      <c r="L354" s="388"/>
    </row>
    <row r="355" spans="4:12" s="112" customFormat="1" ht="12.75">
      <c r="D355" s="387"/>
      <c r="E355" s="206"/>
      <c r="F355" s="387"/>
      <c r="G355" s="206"/>
      <c r="H355" s="388"/>
      <c r="J355" s="388"/>
      <c r="L355" s="388"/>
    </row>
    <row r="356" spans="4:12" s="112" customFormat="1" ht="12.75">
      <c r="D356" s="387"/>
      <c r="E356" s="206"/>
      <c r="F356" s="387"/>
      <c r="G356" s="206"/>
      <c r="H356" s="388"/>
      <c r="J356" s="388"/>
      <c r="L356" s="388"/>
    </row>
    <row r="357" spans="4:12" s="112" customFormat="1" ht="12.75">
      <c r="D357" s="387"/>
      <c r="E357" s="206"/>
      <c r="F357" s="387"/>
      <c r="G357" s="206"/>
      <c r="H357" s="388"/>
      <c r="J357" s="388"/>
      <c r="L357" s="388"/>
    </row>
    <row r="358" spans="4:12" s="112" customFormat="1" ht="12.75">
      <c r="D358" s="387"/>
      <c r="E358" s="206"/>
      <c r="F358" s="387"/>
      <c r="G358" s="206"/>
      <c r="H358" s="388"/>
      <c r="J358" s="388"/>
      <c r="L358" s="388"/>
    </row>
    <row r="359" spans="4:12" s="112" customFormat="1" ht="12.75">
      <c r="D359" s="387"/>
      <c r="E359" s="206"/>
      <c r="F359" s="387"/>
      <c r="G359" s="206"/>
      <c r="H359" s="388"/>
      <c r="J359" s="388"/>
      <c r="L359" s="388"/>
    </row>
    <row r="360" spans="4:12" s="112" customFormat="1" ht="12.75">
      <c r="D360" s="387"/>
      <c r="E360" s="206"/>
      <c r="F360" s="387"/>
      <c r="G360" s="206"/>
      <c r="H360" s="388"/>
      <c r="J360" s="388"/>
      <c r="L360" s="388"/>
    </row>
    <row r="361" spans="4:12" s="112" customFormat="1" ht="12.75">
      <c r="D361" s="387"/>
      <c r="E361" s="206"/>
      <c r="F361" s="387"/>
      <c r="G361" s="206"/>
      <c r="H361" s="388"/>
      <c r="J361" s="388"/>
      <c r="L361" s="388"/>
    </row>
    <row r="362" spans="4:12" s="112" customFormat="1" ht="12.75">
      <c r="D362" s="387"/>
      <c r="E362" s="206"/>
      <c r="F362" s="387"/>
      <c r="G362" s="206"/>
      <c r="H362" s="388"/>
      <c r="J362" s="388"/>
      <c r="L362" s="388"/>
    </row>
    <row r="363" spans="4:12" s="112" customFormat="1" ht="12.75">
      <c r="D363" s="387"/>
      <c r="E363" s="206"/>
      <c r="F363" s="387"/>
      <c r="G363" s="206"/>
      <c r="H363" s="388"/>
      <c r="J363" s="388"/>
      <c r="L363" s="388"/>
    </row>
    <row r="364" spans="4:12" s="112" customFormat="1" ht="12.75">
      <c r="D364" s="387"/>
      <c r="E364" s="206"/>
      <c r="F364" s="387"/>
      <c r="G364" s="206"/>
      <c r="H364" s="388"/>
      <c r="J364" s="388"/>
      <c r="L364" s="388"/>
    </row>
    <row r="365" spans="4:12" s="112" customFormat="1" ht="12.75">
      <c r="D365" s="387"/>
      <c r="E365" s="206"/>
      <c r="F365" s="387"/>
      <c r="G365" s="206"/>
      <c r="H365" s="388"/>
      <c r="J365" s="388"/>
      <c r="L365" s="388"/>
    </row>
    <row r="366" spans="4:12" s="112" customFormat="1" ht="12.75">
      <c r="D366" s="387"/>
      <c r="E366" s="206"/>
      <c r="F366" s="387"/>
      <c r="G366" s="206"/>
      <c r="H366" s="388"/>
      <c r="J366" s="388"/>
      <c r="L366" s="388"/>
    </row>
    <row r="367" spans="4:12" s="112" customFormat="1" ht="12.75">
      <c r="D367" s="387"/>
      <c r="E367" s="206"/>
      <c r="F367" s="387"/>
      <c r="G367" s="206"/>
      <c r="H367" s="388"/>
      <c r="J367" s="388"/>
      <c r="L367" s="388"/>
    </row>
    <row r="368" spans="4:12" s="112" customFormat="1" ht="12.75">
      <c r="D368" s="387"/>
      <c r="E368" s="206"/>
      <c r="F368" s="387"/>
      <c r="G368" s="206"/>
      <c r="H368" s="388"/>
      <c r="J368" s="388"/>
      <c r="L368" s="388"/>
    </row>
    <row r="369" spans="4:12" s="112" customFormat="1" ht="12.75">
      <c r="D369" s="387"/>
      <c r="E369" s="206"/>
      <c r="F369" s="387"/>
      <c r="G369" s="206"/>
      <c r="H369" s="388"/>
      <c r="J369" s="388"/>
      <c r="L369" s="388"/>
    </row>
    <row r="370" spans="4:12" s="112" customFormat="1" ht="12.75">
      <c r="D370" s="387"/>
      <c r="E370" s="206"/>
      <c r="F370" s="387"/>
      <c r="G370" s="206"/>
      <c r="H370" s="388"/>
      <c r="J370" s="388"/>
      <c r="L370" s="388"/>
    </row>
    <row r="371" spans="4:12" s="112" customFormat="1" ht="12.75">
      <c r="D371" s="387"/>
      <c r="E371" s="206"/>
      <c r="F371" s="387"/>
      <c r="G371" s="206"/>
      <c r="H371" s="388"/>
      <c r="J371" s="388"/>
      <c r="L371" s="388"/>
    </row>
    <row r="372" spans="4:12" s="112" customFormat="1" ht="12.75">
      <c r="D372" s="387"/>
      <c r="E372" s="206"/>
      <c r="F372" s="387"/>
      <c r="G372" s="206"/>
      <c r="H372" s="388"/>
      <c r="J372" s="388"/>
      <c r="L372" s="388"/>
    </row>
    <row r="373" spans="4:12" s="112" customFormat="1" ht="12.75">
      <c r="D373" s="387"/>
      <c r="E373" s="206"/>
      <c r="F373" s="387"/>
      <c r="G373" s="206"/>
      <c r="H373" s="388"/>
      <c r="J373" s="388"/>
      <c r="L373" s="388"/>
    </row>
    <row r="374" spans="4:12" s="112" customFormat="1" ht="12.75">
      <c r="D374" s="387"/>
      <c r="E374" s="206"/>
      <c r="F374" s="387"/>
      <c r="G374" s="206"/>
      <c r="H374" s="388"/>
      <c r="J374" s="388"/>
      <c r="L374" s="388"/>
    </row>
    <row r="375" spans="4:12" s="112" customFormat="1" ht="12.75">
      <c r="D375" s="387"/>
      <c r="E375" s="206"/>
      <c r="F375" s="387"/>
      <c r="G375" s="206"/>
      <c r="H375" s="388"/>
      <c r="J375" s="388"/>
      <c r="L375" s="388"/>
    </row>
    <row r="376" spans="4:12" s="112" customFormat="1" ht="12.75">
      <c r="D376" s="387"/>
      <c r="E376" s="206"/>
      <c r="F376" s="387"/>
      <c r="G376" s="206"/>
      <c r="H376" s="388"/>
      <c r="J376" s="388"/>
      <c r="L376" s="388"/>
    </row>
    <row r="377" spans="4:12" s="112" customFormat="1" ht="12.75">
      <c r="D377" s="387"/>
      <c r="E377" s="206"/>
      <c r="F377" s="387"/>
      <c r="G377" s="206"/>
      <c r="H377" s="388"/>
      <c r="J377" s="388"/>
      <c r="L377" s="388"/>
    </row>
    <row r="378" spans="4:12" s="112" customFormat="1" ht="12.75">
      <c r="D378" s="387"/>
      <c r="E378" s="206"/>
      <c r="F378" s="387"/>
      <c r="G378" s="206"/>
      <c r="H378" s="388"/>
      <c r="J378" s="388"/>
      <c r="L378" s="388"/>
    </row>
    <row r="379" spans="4:12" s="112" customFormat="1" ht="12.75">
      <c r="D379" s="387"/>
      <c r="E379" s="206"/>
      <c r="F379" s="387"/>
      <c r="G379" s="206"/>
      <c r="H379" s="388"/>
      <c r="J379" s="388"/>
      <c r="L379" s="388"/>
    </row>
    <row r="380" spans="4:12" s="112" customFormat="1" ht="12.75">
      <c r="D380" s="387"/>
      <c r="E380" s="206"/>
      <c r="F380" s="387"/>
      <c r="G380" s="206"/>
      <c r="H380" s="388"/>
      <c r="J380" s="388"/>
      <c r="L380" s="388"/>
    </row>
    <row r="381" spans="4:12" s="112" customFormat="1" ht="12.75">
      <c r="D381" s="387"/>
      <c r="E381" s="206"/>
      <c r="F381" s="387"/>
      <c r="G381" s="206"/>
      <c r="H381" s="388"/>
      <c r="J381" s="388"/>
      <c r="L381" s="388"/>
    </row>
    <row r="382" spans="4:12" s="112" customFormat="1" ht="12.75">
      <c r="D382" s="387"/>
      <c r="E382" s="206"/>
      <c r="F382" s="387"/>
      <c r="G382" s="206"/>
      <c r="H382" s="388"/>
      <c r="J382" s="388"/>
      <c r="L382" s="388"/>
    </row>
    <row r="383" spans="4:12" s="112" customFormat="1" ht="12.75">
      <c r="D383" s="387"/>
      <c r="E383" s="206"/>
      <c r="F383" s="387"/>
      <c r="G383" s="206"/>
      <c r="H383" s="388"/>
      <c r="J383" s="388"/>
      <c r="L383" s="388"/>
    </row>
    <row r="384" spans="4:12" s="112" customFormat="1" ht="12.75">
      <c r="D384" s="387"/>
      <c r="E384" s="206"/>
      <c r="F384" s="387"/>
      <c r="G384" s="206"/>
      <c r="H384" s="388"/>
      <c r="J384" s="388"/>
      <c r="L384" s="388"/>
    </row>
    <row r="385" spans="4:12" s="112" customFormat="1" ht="12.75">
      <c r="D385" s="387"/>
      <c r="E385" s="206"/>
      <c r="F385" s="387"/>
      <c r="G385" s="206"/>
      <c r="H385" s="388"/>
      <c r="J385" s="388"/>
      <c r="L385" s="388"/>
    </row>
    <row r="386" spans="4:12" s="112" customFormat="1" ht="12.75">
      <c r="D386" s="387"/>
      <c r="E386" s="206"/>
      <c r="F386" s="387"/>
      <c r="G386" s="206"/>
      <c r="H386" s="388"/>
      <c r="J386" s="388"/>
      <c r="L386" s="388"/>
    </row>
    <row r="387" spans="4:12" s="112" customFormat="1" ht="12.75">
      <c r="D387" s="387"/>
      <c r="E387" s="206"/>
      <c r="F387" s="387"/>
      <c r="G387" s="206"/>
      <c r="H387" s="388"/>
      <c r="J387" s="388"/>
      <c r="L387" s="388"/>
    </row>
    <row r="388" spans="4:12" s="112" customFormat="1" ht="12.75">
      <c r="D388" s="387"/>
      <c r="E388" s="206"/>
      <c r="F388" s="387"/>
      <c r="G388" s="206"/>
      <c r="H388" s="388"/>
      <c r="J388" s="388"/>
      <c r="L388" s="388"/>
    </row>
    <row r="389" spans="4:12" s="112" customFormat="1" ht="12.75">
      <c r="D389" s="387"/>
      <c r="E389" s="206"/>
      <c r="F389" s="387"/>
      <c r="G389" s="206"/>
      <c r="H389" s="388"/>
      <c r="J389" s="388"/>
      <c r="L389" s="388"/>
    </row>
    <row r="390" spans="4:12" s="112" customFormat="1" ht="12.75">
      <c r="D390" s="387"/>
      <c r="E390" s="206"/>
      <c r="F390" s="387"/>
      <c r="G390" s="206"/>
      <c r="H390" s="388"/>
      <c r="J390" s="388"/>
      <c r="L390" s="388"/>
    </row>
    <row r="391" spans="4:12" s="112" customFormat="1" ht="12.75">
      <c r="D391" s="387"/>
      <c r="E391" s="206"/>
      <c r="F391" s="387"/>
      <c r="G391" s="206"/>
      <c r="H391" s="388"/>
      <c r="J391" s="388"/>
      <c r="L391" s="388"/>
    </row>
    <row r="392" spans="4:12" s="112" customFormat="1" ht="12.75">
      <c r="D392" s="387"/>
      <c r="E392" s="206"/>
      <c r="F392" s="387"/>
      <c r="G392" s="206"/>
      <c r="H392" s="388"/>
      <c r="J392" s="388"/>
      <c r="L392" s="388"/>
    </row>
    <row r="393" spans="4:12" s="112" customFormat="1" ht="12.75">
      <c r="D393" s="387"/>
      <c r="E393" s="206"/>
      <c r="F393" s="387"/>
      <c r="G393" s="206"/>
      <c r="H393" s="388"/>
      <c r="J393" s="388"/>
      <c r="L393" s="388"/>
    </row>
    <row r="394" spans="4:12" s="112" customFormat="1" ht="12.75">
      <c r="D394" s="387"/>
      <c r="E394" s="206"/>
      <c r="F394" s="387"/>
      <c r="G394" s="206"/>
      <c r="H394" s="388"/>
      <c r="J394" s="388"/>
      <c r="L394" s="388"/>
    </row>
    <row r="395" spans="4:12" s="112" customFormat="1" ht="12.75">
      <c r="D395" s="387"/>
      <c r="E395" s="206"/>
      <c r="F395" s="387"/>
      <c r="G395" s="206"/>
      <c r="H395" s="388"/>
      <c r="J395" s="388"/>
      <c r="L395" s="388"/>
    </row>
    <row r="396" spans="4:12" s="112" customFormat="1" ht="12.75">
      <c r="D396" s="387"/>
      <c r="E396" s="206"/>
      <c r="F396" s="387"/>
      <c r="G396" s="206"/>
      <c r="H396" s="388"/>
      <c r="J396" s="388"/>
      <c r="L396" s="388"/>
    </row>
    <row r="397" spans="4:12" s="112" customFormat="1" ht="12.75">
      <c r="D397" s="387"/>
      <c r="E397" s="206"/>
      <c r="F397" s="387"/>
      <c r="G397" s="206"/>
      <c r="H397" s="388"/>
      <c r="J397" s="388"/>
      <c r="L397" s="388"/>
    </row>
    <row r="398" spans="4:12" s="112" customFormat="1" ht="12.75">
      <c r="D398" s="387"/>
      <c r="E398" s="206"/>
      <c r="F398" s="387"/>
      <c r="G398" s="206"/>
      <c r="H398" s="388"/>
      <c r="J398" s="388"/>
      <c r="L398" s="388"/>
    </row>
    <row r="399" spans="4:12" s="112" customFormat="1" ht="12.75">
      <c r="D399" s="387"/>
      <c r="E399" s="206"/>
      <c r="F399" s="387"/>
      <c r="G399" s="206"/>
      <c r="H399" s="388"/>
      <c r="J399" s="388"/>
      <c r="L399" s="388"/>
    </row>
    <row r="400" spans="4:12" s="112" customFormat="1" ht="12.75">
      <c r="D400" s="387"/>
      <c r="E400" s="206"/>
      <c r="F400" s="387"/>
      <c r="G400" s="206"/>
      <c r="H400" s="388"/>
      <c r="J400" s="388"/>
      <c r="L400" s="388"/>
    </row>
    <row r="401" spans="4:12" s="112" customFormat="1" ht="12.75">
      <c r="D401" s="387"/>
      <c r="E401" s="206"/>
      <c r="F401" s="387"/>
      <c r="G401" s="206"/>
      <c r="H401" s="388"/>
      <c r="J401" s="388"/>
      <c r="L401" s="388"/>
    </row>
    <row r="402" spans="4:12" s="112" customFormat="1" ht="12.75">
      <c r="D402" s="387"/>
      <c r="E402" s="206"/>
      <c r="F402" s="387"/>
      <c r="G402" s="206"/>
      <c r="H402" s="388"/>
      <c r="J402" s="388"/>
      <c r="L402" s="388"/>
    </row>
    <row r="403" spans="4:12" s="112" customFormat="1" ht="12.75">
      <c r="D403" s="387"/>
      <c r="E403" s="206"/>
      <c r="F403" s="387"/>
      <c r="G403" s="206"/>
      <c r="H403" s="388"/>
      <c r="J403" s="388"/>
      <c r="L403" s="388"/>
    </row>
    <row r="404" spans="4:12" s="112" customFormat="1" ht="12.75">
      <c r="D404" s="387"/>
      <c r="E404" s="206"/>
      <c r="F404" s="387"/>
      <c r="G404" s="206"/>
      <c r="H404" s="388"/>
      <c r="J404" s="388"/>
      <c r="L404" s="388"/>
    </row>
    <row r="405" spans="4:12" s="112" customFormat="1" ht="12.75">
      <c r="D405" s="387"/>
      <c r="E405" s="206"/>
      <c r="F405" s="387"/>
      <c r="G405" s="206"/>
      <c r="H405" s="388"/>
      <c r="J405" s="388"/>
      <c r="L405" s="388"/>
    </row>
    <row r="406" spans="4:12" s="112" customFormat="1" ht="12.75">
      <c r="D406" s="387"/>
      <c r="E406" s="206"/>
      <c r="F406" s="387"/>
      <c r="G406" s="206"/>
      <c r="H406" s="388"/>
      <c r="J406" s="388"/>
      <c r="L406" s="388"/>
    </row>
    <row r="407" spans="4:12" s="112" customFormat="1" ht="12.75">
      <c r="D407" s="387"/>
      <c r="E407" s="206"/>
      <c r="F407" s="387"/>
      <c r="G407" s="206"/>
      <c r="H407" s="388"/>
      <c r="J407" s="388"/>
      <c r="L407" s="388"/>
    </row>
    <row r="408" spans="4:12" s="112" customFormat="1" ht="12.75">
      <c r="D408" s="387"/>
      <c r="E408" s="206"/>
      <c r="F408" s="387"/>
      <c r="G408" s="206"/>
      <c r="H408" s="388"/>
      <c r="J408" s="388"/>
      <c r="L408" s="388"/>
    </row>
    <row r="409" spans="4:12" s="112" customFormat="1" ht="12.75">
      <c r="D409" s="387"/>
      <c r="E409" s="206"/>
      <c r="F409" s="387"/>
      <c r="G409" s="206"/>
      <c r="H409" s="388"/>
      <c r="J409" s="388"/>
      <c r="L409" s="388"/>
    </row>
    <row r="410" spans="4:12" s="112" customFormat="1" ht="12.75">
      <c r="D410" s="387"/>
      <c r="E410" s="206"/>
      <c r="F410" s="387"/>
      <c r="G410" s="206"/>
      <c r="H410" s="388"/>
      <c r="J410" s="388"/>
      <c r="L410" s="388"/>
    </row>
    <row r="411" spans="4:12" s="112" customFormat="1" ht="12.75">
      <c r="D411" s="387"/>
      <c r="E411" s="206"/>
      <c r="F411" s="387"/>
      <c r="G411" s="206"/>
      <c r="H411" s="388"/>
      <c r="J411" s="388"/>
      <c r="L411" s="388"/>
    </row>
    <row r="412" spans="4:12" s="112" customFormat="1" ht="12.75">
      <c r="D412" s="387"/>
      <c r="E412" s="206"/>
      <c r="F412" s="387"/>
      <c r="G412" s="206"/>
      <c r="H412" s="388"/>
      <c r="J412" s="388"/>
      <c r="L412" s="388"/>
    </row>
    <row r="413" spans="4:12" s="112" customFormat="1" ht="12.75">
      <c r="D413" s="387"/>
      <c r="E413" s="206"/>
      <c r="F413" s="387"/>
      <c r="G413" s="206"/>
      <c r="H413" s="388"/>
      <c r="J413" s="388"/>
      <c r="L413" s="388"/>
    </row>
    <row r="414" spans="4:12" s="112" customFormat="1" ht="12.75">
      <c r="D414" s="387"/>
      <c r="E414" s="206"/>
      <c r="F414" s="387"/>
      <c r="G414" s="206"/>
      <c r="H414" s="388"/>
      <c r="J414" s="388"/>
      <c r="L414" s="388"/>
    </row>
    <row r="415" spans="4:12" s="112" customFormat="1" ht="12.75">
      <c r="D415" s="387"/>
      <c r="E415" s="206"/>
      <c r="F415" s="387"/>
      <c r="G415" s="206"/>
      <c r="H415" s="388"/>
      <c r="J415" s="388"/>
      <c r="L415" s="388"/>
    </row>
    <row r="416" spans="4:12" s="112" customFormat="1" ht="12.75">
      <c r="D416" s="387"/>
      <c r="E416" s="206"/>
      <c r="F416" s="387"/>
      <c r="G416" s="206"/>
      <c r="H416" s="388"/>
      <c r="J416" s="388"/>
      <c r="L416" s="388"/>
    </row>
    <row r="417" spans="4:12" s="112" customFormat="1" ht="12.75">
      <c r="D417" s="387"/>
      <c r="E417" s="206"/>
      <c r="F417" s="387"/>
      <c r="G417" s="206"/>
      <c r="H417" s="388"/>
      <c r="J417" s="388"/>
      <c r="L417" s="388"/>
    </row>
    <row r="418" spans="4:12" s="112" customFormat="1" ht="12.75">
      <c r="D418" s="387"/>
      <c r="E418" s="206"/>
      <c r="F418" s="387"/>
      <c r="G418" s="206"/>
      <c r="H418" s="388"/>
      <c r="J418" s="388"/>
      <c r="L418" s="388"/>
    </row>
    <row r="419" spans="4:12" s="112" customFormat="1" ht="12.75">
      <c r="D419" s="387"/>
      <c r="E419" s="206"/>
      <c r="F419" s="387"/>
      <c r="G419" s="206"/>
      <c r="H419" s="388"/>
      <c r="J419" s="388"/>
      <c r="L419" s="388"/>
    </row>
    <row r="420" spans="4:12" s="112" customFormat="1" ht="12.75">
      <c r="D420" s="387"/>
      <c r="E420" s="206"/>
      <c r="F420" s="387"/>
      <c r="G420" s="206"/>
      <c r="H420" s="388"/>
      <c r="J420" s="388"/>
      <c r="L420" s="388"/>
    </row>
    <row r="421" spans="4:12" s="112" customFormat="1" ht="12.75">
      <c r="D421" s="387"/>
      <c r="E421" s="206"/>
      <c r="F421" s="387"/>
      <c r="G421" s="206"/>
      <c r="H421" s="388"/>
      <c r="J421" s="388"/>
      <c r="L421" s="388"/>
    </row>
    <row r="422" spans="4:12" s="112" customFormat="1" ht="12.75">
      <c r="D422" s="387"/>
      <c r="E422" s="206"/>
      <c r="F422" s="387"/>
      <c r="G422" s="206"/>
      <c r="H422" s="388"/>
      <c r="J422" s="388"/>
      <c r="L422" s="388"/>
    </row>
    <row r="423" spans="4:12" s="112" customFormat="1" ht="12.75">
      <c r="D423" s="387"/>
      <c r="E423" s="206"/>
      <c r="F423" s="387"/>
      <c r="G423" s="206"/>
      <c r="H423" s="388"/>
      <c r="J423" s="388"/>
      <c r="L423" s="388"/>
    </row>
    <row r="424" spans="4:12" s="112" customFormat="1" ht="12.75">
      <c r="D424" s="387"/>
      <c r="E424" s="206"/>
      <c r="F424" s="387"/>
      <c r="G424" s="206"/>
      <c r="H424" s="388"/>
      <c r="J424" s="388"/>
      <c r="L424" s="388"/>
    </row>
    <row r="425" spans="4:12" s="112" customFormat="1" ht="12.75">
      <c r="D425" s="387"/>
      <c r="E425" s="206"/>
      <c r="F425" s="387"/>
      <c r="G425" s="206"/>
      <c r="H425" s="388"/>
      <c r="J425" s="388"/>
      <c r="L425" s="388"/>
    </row>
    <row r="426" spans="4:12" s="112" customFormat="1" ht="12.75">
      <c r="D426" s="387"/>
      <c r="E426" s="206"/>
      <c r="F426" s="387"/>
      <c r="G426" s="206"/>
      <c r="H426" s="388"/>
      <c r="J426" s="388"/>
      <c r="L426" s="388"/>
    </row>
    <row r="427" spans="4:12" s="112" customFormat="1" ht="12.75">
      <c r="D427" s="387"/>
      <c r="E427" s="206"/>
      <c r="F427" s="387"/>
      <c r="G427" s="206"/>
      <c r="H427" s="388"/>
      <c r="J427" s="388"/>
      <c r="L427" s="388"/>
    </row>
    <row r="428" spans="4:12" s="112" customFormat="1" ht="12.75">
      <c r="D428" s="387"/>
      <c r="E428" s="206"/>
      <c r="F428" s="387"/>
      <c r="G428" s="206"/>
      <c r="H428" s="388"/>
      <c r="J428" s="388"/>
      <c r="L428" s="388"/>
    </row>
    <row r="429" spans="4:12" s="112" customFormat="1" ht="12.75">
      <c r="D429" s="387"/>
      <c r="E429" s="206"/>
      <c r="F429" s="387"/>
      <c r="G429" s="206"/>
      <c r="H429" s="388"/>
      <c r="J429" s="388"/>
      <c r="L429" s="388"/>
    </row>
    <row r="430" spans="4:12" s="112" customFormat="1" ht="12.75">
      <c r="D430" s="387"/>
      <c r="E430" s="206"/>
      <c r="F430" s="387"/>
      <c r="G430" s="206"/>
      <c r="H430" s="388"/>
      <c r="J430" s="388"/>
      <c r="L430" s="388"/>
    </row>
    <row r="431" spans="4:12" s="112" customFormat="1" ht="12.75">
      <c r="D431" s="387"/>
      <c r="E431" s="206"/>
      <c r="F431" s="387"/>
      <c r="G431" s="206"/>
      <c r="H431" s="388"/>
      <c r="J431" s="388"/>
      <c r="L431" s="388"/>
    </row>
    <row r="432" spans="4:12" s="112" customFormat="1" ht="12.75">
      <c r="D432" s="387"/>
      <c r="E432" s="206"/>
      <c r="F432" s="387"/>
      <c r="G432" s="206"/>
      <c r="H432" s="388"/>
      <c r="J432" s="388"/>
      <c r="L432" s="388"/>
    </row>
    <row r="433" spans="4:12" s="112" customFormat="1" ht="12.75">
      <c r="D433" s="387"/>
      <c r="E433" s="206"/>
      <c r="F433" s="387"/>
      <c r="G433" s="206"/>
      <c r="H433" s="388"/>
      <c r="J433" s="388"/>
      <c r="L433" s="388"/>
    </row>
    <row r="434" spans="4:12" s="112" customFormat="1" ht="12.75">
      <c r="D434" s="387"/>
      <c r="E434" s="206"/>
      <c r="F434" s="387"/>
      <c r="G434" s="206"/>
      <c r="H434" s="388"/>
      <c r="J434" s="388"/>
      <c r="L434" s="388"/>
    </row>
    <row r="435" spans="4:12" s="112" customFormat="1" ht="12.75">
      <c r="D435" s="387"/>
      <c r="E435" s="206"/>
      <c r="F435" s="387"/>
      <c r="G435" s="206"/>
      <c r="H435" s="388"/>
      <c r="J435" s="388"/>
      <c r="L435" s="388"/>
    </row>
    <row r="436" spans="4:12" s="112" customFormat="1" ht="12.75">
      <c r="D436" s="387"/>
      <c r="E436" s="206"/>
      <c r="F436" s="387"/>
      <c r="G436" s="206"/>
      <c r="H436" s="388"/>
      <c r="J436" s="388"/>
      <c r="L436" s="388"/>
    </row>
    <row r="437" spans="4:12" s="112" customFormat="1" ht="12.75">
      <c r="D437" s="387"/>
      <c r="E437" s="206"/>
      <c r="F437" s="387"/>
      <c r="G437" s="206"/>
      <c r="H437" s="388"/>
      <c r="J437" s="388"/>
      <c r="L437" s="388"/>
    </row>
    <row r="438" spans="4:12" s="112" customFormat="1" ht="12.75">
      <c r="D438" s="387"/>
      <c r="E438" s="206"/>
      <c r="F438" s="387"/>
      <c r="G438" s="206"/>
      <c r="H438" s="388"/>
      <c r="J438" s="388"/>
      <c r="L438" s="388"/>
    </row>
    <row r="439" spans="4:12" s="112" customFormat="1" ht="12.75">
      <c r="D439" s="387"/>
      <c r="E439" s="206"/>
      <c r="F439" s="387"/>
      <c r="G439" s="206"/>
      <c r="H439" s="388"/>
      <c r="J439" s="388"/>
      <c r="L439" s="388"/>
    </row>
    <row r="440" spans="4:12" s="112" customFormat="1" ht="12.75">
      <c r="D440" s="387"/>
      <c r="E440" s="206"/>
      <c r="F440" s="387"/>
      <c r="G440" s="206"/>
      <c r="H440" s="388"/>
      <c r="J440" s="388"/>
      <c r="L440" s="388"/>
    </row>
    <row r="441" spans="4:12" s="112" customFormat="1" ht="12.75">
      <c r="D441" s="387"/>
      <c r="E441" s="206"/>
      <c r="F441" s="387"/>
      <c r="G441" s="206"/>
      <c r="H441" s="388"/>
      <c r="J441" s="388"/>
      <c r="L441" s="388"/>
    </row>
    <row r="442" spans="4:12" s="112" customFormat="1" ht="12.75">
      <c r="D442" s="387"/>
      <c r="E442" s="206"/>
      <c r="F442" s="387"/>
      <c r="G442" s="206"/>
      <c r="H442" s="388"/>
      <c r="J442" s="388"/>
      <c r="L442" s="388"/>
    </row>
    <row r="443" spans="4:12" s="112" customFormat="1" ht="12.75">
      <c r="D443" s="387"/>
      <c r="E443" s="206"/>
      <c r="F443" s="387"/>
      <c r="G443" s="206"/>
      <c r="H443" s="388"/>
      <c r="J443" s="388"/>
      <c r="L443" s="388"/>
    </row>
    <row r="444" spans="4:12" s="112" customFormat="1" ht="12.75">
      <c r="D444" s="387"/>
      <c r="E444" s="206"/>
      <c r="F444" s="387"/>
      <c r="G444" s="206"/>
      <c r="H444" s="388"/>
      <c r="J444" s="388"/>
      <c r="L444" s="388"/>
    </row>
    <row r="445" spans="4:12" s="112" customFormat="1" ht="12.75">
      <c r="D445" s="387"/>
      <c r="E445" s="206"/>
      <c r="F445" s="387"/>
      <c r="G445" s="206"/>
      <c r="H445" s="388"/>
      <c r="J445" s="388"/>
      <c r="L445" s="388"/>
    </row>
    <row r="446" spans="4:12" s="112" customFormat="1" ht="12.75">
      <c r="D446" s="387"/>
      <c r="E446" s="206"/>
      <c r="F446" s="387"/>
      <c r="G446" s="206"/>
      <c r="H446" s="388"/>
      <c r="J446" s="388"/>
      <c r="L446" s="388"/>
    </row>
    <row r="447" spans="4:12" s="112" customFormat="1" ht="12.75">
      <c r="D447" s="387"/>
      <c r="E447" s="206"/>
      <c r="F447" s="387"/>
      <c r="G447" s="206"/>
      <c r="H447" s="388"/>
      <c r="J447" s="388"/>
      <c r="L447" s="388"/>
    </row>
    <row r="448" spans="4:12" s="112" customFormat="1" ht="12.75">
      <c r="D448" s="387"/>
      <c r="E448" s="206"/>
      <c r="F448" s="387"/>
      <c r="G448" s="206"/>
      <c r="H448" s="388"/>
      <c r="J448" s="388"/>
      <c r="L448" s="388"/>
    </row>
    <row r="449" spans="4:12" s="112" customFormat="1" ht="12.75">
      <c r="D449" s="387"/>
      <c r="E449" s="206"/>
      <c r="F449" s="387"/>
      <c r="G449" s="206"/>
      <c r="H449" s="388"/>
      <c r="J449" s="388"/>
      <c r="L449" s="388"/>
    </row>
    <row r="450" spans="4:12" s="112" customFormat="1" ht="12.75">
      <c r="D450" s="387"/>
      <c r="E450" s="206"/>
      <c r="F450" s="387"/>
      <c r="G450" s="206"/>
      <c r="H450" s="388"/>
      <c r="J450" s="388"/>
      <c r="L450" s="388"/>
    </row>
    <row r="451" spans="4:12" s="112" customFormat="1" ht="12.75">
      <c r="D451" s="387"/>
      <c r="E451" s="206"/>
      <c r="F451" s="387"/>
      <c r="G451" s="206"/>
      <c r="H451" s="388"/>
      <c r="J451" s="388"/>
      <c r="L451" s="388"/>
    </row>
    <row r="452" spans="4:12" s="112" customFormat="1" ht="12.75">
      <c r="D452" s="387"/>
      <c r="E452" s="206"/>
      <c r="F452" s="387"/>
      <c r="G452" s="206"/>
      <c r="H452" s="388"/>
      <c r="J452" s="388"/>
      <c r="L452" s="388"/>
    </row>
    <row r="453" spans="4:12" s="112" customFormat="1" ht="12.75">
      <c r="D453" s="387"/>
      <c r="E453" s="206"/>
      <c r="F453" s="387"/>
      <c r="G453" s="206"/>
      <c r="H453" s="388"/>
      <c r="J453" s="388"/>
      <c r="L453" s="388"/>
    </row>
    <row r="454" spans="4:12" s="112" customFormat="1" ht="12.75">
      <c r="D454" s="387"/>
      <c r="E454" s="206"/>
      <c r="F454" s="387"/>
      <c r="G454" s="206"/>
      <c r="H454" s="388"/>
      <c r="J454" s="388"/>
      <c r="L454" s="388"/>
    </row>
    <row r="455" spans="4:12" s="112" customFormat="1" ht="12.75">
      <c r="D455" s="387"/>
      <c r="E455" s="206"/>
      <c r="F455" s="387"/>
      <c r="G455" s="206"/>
      <c r="H455" s="388"/>
      <c r="J455" s="388"/>
      <c r="L455" s="388"/>
    </row>
    <row r="456" spans="4:12" s="112" customFormat="1" ht="12.75">
      <c r="D456" s="387"/>
      <c r="E456" s="206"/>
      <c r="F456" s="387"/>
      <c r="G456" s="206"/>
      <c r="H456" s="388"/>
      <c r="J456" s="388"/>
      <c r="L456" s="388"/>
    </row>
    <row r="457" spans="4:12" s="112" customFormat="1" ht="12.75">
      <c r="D457" s="387"/>
      <c r="E457" s="206"/>
      <c r="F457" s="387"/>
      <c r="G457" s="206"/>
      <c r="H457" s="388"/>
      <c r="J457" s="388"/>
      <c r="L457" s="388"/>
    </row>
    <row r="458" spans="4:12" s="112" customFormat="1" ht="12.75">
      <c r="D458" s="387"/>
      <c r="E458" s="206"/>
      <c r="F458" s="387"/>
      <c r="G458" s="206"/>
      <c r="H458" s="388"/>
      <c r="J458" s="388"/>
      <c r="L458" s="388"/>
    </row>
    <row r="459" spans="4:12" s="112" customFormat="1" ht="12.75">
      <c r="D459" s="387"/>
      <c r="E459" s="206"/>
      <c r="F459" s="387"/>
      <c r="G459" s="206"/>
      <c r="H459" s="388"/>
      <c r="J459" s="388"/>
      <c r="L459" s="388"/>
    </row>
    <row r="460" spans="4:12" s="112" customFormat="1" ht="12.75">
      <c r="D460" s="387"/>
      <c r="E460" s="206"/>
      <c r="F460" s="387"/>
      <c r="G460" s="206"/>
      <c r="H460" s="388"/>
      <c r="J460" s="388"/>
      <c r="L460" s="388"/>
    </row>
    <row r="461" spans="4:12" s="112" customFormat="1" ht="12.75">
      <c r="D461" s="387"/>
      <c r="E461" s="206"/>
      <c r="F461" s="387"/>
      <c r="G461" s="206"/>
      <c r="H461" s="388"/>
      <c r="J461" s="388"/>
      <c r="L461" s="388"/>
    </row>
    <row r="462" spans="4:12" s="112" customFormat="1" ht="12.75">
      <c r="D462" s="387"/>
      <c r="E462" s="206"/>
      <c r="F462" s="387"/>
      <c r="G462" s="206"/>
      <c r="H462" s="388"/>
      <c r="J462" s="388"/>
      <c r="L462" s="388"/>
    </row>
    <row r="463" spans="4:12" s="112" customFormat="1" ht="12.75">
      <c r="D463" s="387"/>
      <c r="E463" s="206"/>
      <c r="F463" s="387"/>
      <c r="G463" s="206"/>
      <c r="H463" s="388"/>
      <c r="J463" s="388"/>
      <c r="L463" s="388"/>
    </row>
    <row r="464" spans="4:12" s="112" customFormat="1" ht="12.75">
      <c r="D464" s="387"/>
      <c r="E464" s="206"/>
      <c r="F464" s="387"/>
      <c r="G464" s="206"/>
      <c r="H464" s="388"/>
      <c r="J464" s="388"/>
      <c r="L464" s="388"/>
    </row>
    <row r="465" spans="4:12" s="112" customFormat="1" ht="12.75">
      <c r="D465" s="387"/>
      <c r="E465" s="206"/>
      <c r="F465" s="387"/>
      <c r="G465" s="206"/>
      <c r="H465" s="388"/>
      <c r="J465" s="388"/>
      <c r="L465" s="388"/>
    </row>
    <row r="466" spans="4:12" s="112" customFormat="1" ht="12.75">
      <c r="D466" s="387"/>
      <c r="E466" s="206"/>
      <c r="F466" s="387"/>
      <c r="G466" s="206"/>
      <c r="H466" s="388"/>
      <c r="J466" s="388"/>
      <c r="L466" s="388"/>
    </row>
    <row r="467" spans="4:12" s="112" customFormat="1" ht="12.75">
      <c r="D467" s="387"/>
      <c r="E467" s="206"/>
      <c r="F467" s="387"/>
      <c r="G467" s="206"/>
      <c r="H467" s="388"/>
      <c r="J467" s="388"/>
      <c r="L467" s="388"/>
    </row>
    <row r="468" spans="4:12" s="112" customFormat="1" ht="12.75">
      <c r="D468" s="387"/>
      <c r="E468" s="206"/>
      <c r="F468" s="387"/>
      <c r="G468" s="206"/>
      <c r="H468" s="388"/>
      <c r="J468" s="388"/>
      <c r="L468" s="388"/>
    </row>
    <row r="469" spans="4:12" s="112" customFormat="1" ht="12.75">
      <c r="D469" s="387"/>
      <c r="E469" s="206"/>
      <c r="F469" s="387"/>
      <c r="G469" s="206"/>
      <c r="H469" s="388"/>
      <c r="J469" s="388"/>
      <c r="L469" s="388"/>
    </row>
    <row r="470" spans="4:12" s="112" customFormat="1" ht="12.75">
      <c r="D470" s="387"/>
      <c r="E470" s="206"/>
      <c r="F470" s="387"/>
      <c r="G470" s="206"/>
      <c r="H470" s="388"/>
      <c r="J470" s="388"/>
      <c r="L470" s="388"/>
    </row>
    <row r="471" spans="4:12" s="112" customFormat="1" ht="12.75">
      <c r="D471" s="387"/>
      <c r="E471" s="206"/>
      <c r="F471" s="387"/>
      <c r="G471" s="206"/>
      <c r="H471" s="388"/>
      <c r="J471" s="388"/>
      <c r="L471" s="388"/>
    </row>
    <row r="472" spans="4:12" s="112" customFormat="1" ht="12.75">
      <c r="D472" s="387"/>
      <c r="E472" s="206"/>
      <c r="F472" s="387"/>
      <c r="G472" s="206"/>
      <c r="H472" s="388"/>
      <c r="J472" s="388"/>
      <c r="L472" s="388"/>
    </row>
    <row r="473" spans="4:12" s="112" customFormat="1" ht="12.75">
      <c r="D473" s="387"/>
      <c r="E473" s="206"/>
      <c r="F473" s="387"/>
      <c r="G473" s="206"/>
      <c r="H473" s="388"/>
      <c r="J473" s="388"/>
      <c r="L473" s="388"/>
    </row>
    <row r="474" spans="4:12" s="112" customFormat="1" ht="12.75">
      <c r="D474" s="387"/>
      <c r="E474" s="206"/>
      <c r="F474" s="387"/>
      <c r="G474" s="206"/>
      <c r="H474" s="388"/>
      <c r="J474" s="388"/>
      <c r="L474" s="388"/>
    </row>
    <row r="475" spans="4:12" s="112" customFormat="1" ht="12.75">
      <c r="D475" s="387"/>
      <c r="E475" s="206"/>
      <c r="F475" s="387"/>
      <c r="G475" s="206"/>
      <c r="H475" s="388"/>
      <c r="J475" s="388"/>
      <c r="L475" s="388"/>
    </row>
    <row r="476" spans="4:12" s="112" customFormat="1" ht="12.75">
      <c r="D476" s="387"/>
      <c r="E476" s="206"/>
      <c r="F476" s="387"/>
      <c r="G476" s="206"/>
      <c r="H476" s="388"/>
      <c r="J476" s="388"/>
      <c r="L476" s="388"/>
    </row>
    <row r="477" spans="4:12" s="112" customFormat="1" ht="12.75">
      <c r="D477" s="387"/>
      <c r="E477" s="206"/>
      <c r="F477" s="387"/>
      <c r="G477" s="206"/>
      <c r="H477" s="388"/>
      <c r="J477" s="388"/>
      <c r="L477" s="388"/>
    </row>
    <row r="478" spans="4:12" s="112" customFormat="1" ht="12.75">
      <c r="D478" s="387"/>
      <c r="E478" s="206"/>
      <c r="F478" s="387"/>
      <c r="G478" s="206"/>
      <c r="H478" s="388"/>
      <c r="J478" s="388"/>
      <c r="L478" s="388"/>
    </row>
    <row r="479" spans="4:12" s="112" customFormat="1" ht="12.75">
      <c r="D479" s="387"/>
      <c r="E479" s="206"/>
      <c r="F479" s="387"/>
      <c r="G479" s="206"/>
      <c r="H479" s="388"/>
      <c r="J479" s="388"/>
      <c r="L479" s="388"/>
    </row>
    <row r="480" spans="4:12" s="112" customFormat="1" ht="12.75">
      <c r="D480" s="387"/>
      <c r="E480" s="206"/>
      <c r="F480" s="387"/>
      <c r="G480" s="206"/>
      <c r="H480" s="388"/>
      <c r="J480" s="388"/>
      <c r="L480" s="388"/>
    </row>
    <row r="481" spans="4:12" s="112" customFormat="1" ht="12.75">
      <c r="D481" s="387"/>
      <c r="E481" s="206"/>
      <c r="F481" s="387"/>
      <c r="G481" s="206"/>
      <c r="H481" s="388"/>
      <c r="J481" s="388"/>
      <c r="L481" s="388"/>
    </row>
    <row r="482" spans="4:12" s="112" customFormat="1" ht="12.75">
      <c r="D482" s="387"/>
      <c r="E482" s="206"/>
      <c r="F482" s="387"/>
      <c r="G482" s="206"/>
      <c r="H482" s="388"/>
      <c r="J482" s="388"/>
      <c r="L482" s="388"/>
    </row>
    <row r="483" spans="4:12" s="112" customFormat="1" ht="12.75">
      <c r="D483" s="387"/>
      <c r="E483" s="206"/>
      <c r="F483" s="387"/>
      <c r="G483" s="206"/>
      <c r="H483" s="388"/>
      <c r="J483" s="388"/>
      <c r="L483" s="388"/>
    </row>
    <row r="484" spans="4:12" s="112" customFormat="1" ht="12.75">
      <c r="D484" s="387"/>
      <c r="E484" s="206"/>
      <c r="F484" s="387"/>
      <c r="G484" s="206"/>
      <c r="H484" s="388"/>
      <c r="J484" s="388"/>
      <c r="L484" s="388"/>
    </row>
    <row r="485" spans="4:12" s="112" customFormat="1" ht="12.75">
      <c r="D485" s="387"/>
      <c r="E485" s="206"/>
      <c r="F485" s="387"/>
      <c r="G485" s="206"/>
      <c r="H485" s="388"/>
      <c r="J485" s="388"/>
      <c r="L485" s="388"/>
    </row>
    <row r="486" spans="4:12" s="112" customFormat="1" ht="12.75">
      <c r="D486" s="387"/>
      <c r="E486" s="206"/>
      <c r="F486" s="387"/>
      <c r="G486" s="206"/>
      <c r="H486" s="388"/>
      <c r="J486" s="388"/>
      <c r="L486" s="388"/>
    </row>
  </sheetData>
  <sheetProtection password="C857" sheet="1" objects="1" scenarios="1"/>
  <mergeCells count="2">
    <mergeCell ref="C4:G4"/>
    <mergeCell ref="C2:L2"/>
  </mergeCells>
  <phoneticPr fontId="0" type="noConversion"/>
  <conditionalFormatting sqref="F23:L24 D16:D20 D23:D24 F16:L20 F11:L13 D11:D13 D9:L10">
    <cfRule type="expression" dxfId="5" priority="1" stopIfTrue="1">
      <formula>D$27=0</formula>
    </cfRule>
  </conditionalFormatting>
  <pageMargins left="0.39370078740157483" right="0.39370078740157483" top="0.98425196850393704" bottom="0.98425196850393704" header="0.51181102362204722" footer="0.51181102362204722"/>
  <pageSetup paperSize="9" orientation="landscape" r:id="rId1"/>
  <headerFooter alignWithMargins="0">
    <oddFooter>&amp;LZKB KMU Check-up&amp;CSeite &amp;P / &amp;N&amp;R&amp;D</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1:AK454"/>
  <sheetViews>
    <sheetView showGridLines="0" showRowColHeaders="0" zoomScale="84" zoomScaleNormal="84" workbookViewId="0">
      <pane xSplit="13" ySplit="4" topLeftCell="N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",Hauptübersicht!K13)</f>
        <v>Liquiditätsplan 2017</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Planbilanz'!D8</f>
        <v>200</v>
      </c>
      <c r="J8" s="413">
        <f>N8</f>
        <v>200</v>
      </c>
      <c r="K8" s="43" t="str">
        <f t="shared" ref="K8:K38" si="0">IF(J8-I8&gt;1,"û",IF(J8-I8&lt;-1,"û","ü"))</f>
        <v>ü</v>
      </c>
      <c r="L8" s="414">
        <f>N8</f>
        <v>200</v>
      </c>
      <c r="M8" s="415">
        <f>L8/IF(I8=0,1,I8)</f>
        <v>1</v>
      </c>
      <c r="N8" s="416">
        <f>I8</f>
        <v>200</v>
      </c>
      <c r="O8" s="417">
        <f>I8</f>
        <v>200</v>
      </c>
      <c r="P8" s="416">
        <f t="shared" ref="P8:AK8" si="1">IF(AND(SUM(P9:P12)=0,SUM(P15:P23)=0),0,+N36)</f>
        <v>0</v>
      </c>
      <c r="Q8" s="417">
        <f t="shared" si="1"/>
        <v>0</v>
      </c>
      <c r="R8" s="416">
        <f t="shared" si="1"/>
        <v>0</v>
      </c>
      <c r="S8" s="417">
        <f t="shared" si="1"/>
        <v>0</v>
      </c>
      <c r="T8" s="416">
        <f t="shared" si="1"/>
        <v>0</v>
      </c>
      <c r="U8" s="417">
        <f t="shared" si="1"/>
        <v>0</v>
      </c>
      <c r="V8" s="416">
        <f t="shared" si="1"/>
        <v>0</v>
      </c>
      <c r="W8" s="417">
        <f t="shared" si="1"/>
        <v>0</v>
      </c>
      <c r="X8" s="416">
        <f t="shared" si="1"/>
        <v>0</v>
      </c>
      <c r="Y8" s="417">
        <f t="shared" si="1"/>
        <v>0</v>
      </c>
      <c r="Z8" s="416">
        <f t="shared" si="1"/>
        <v>0</v>
      </c>
      <c r="AA8" s="417">
        <f t="shared" si="1"/>
        <v>0</v>
      </c>
      <c r="AB8" s="416">
        <f t="shared" si="1"/>
        <v>0</v>
      </c>
      <c r="AC8" s="417">
        <f t="shared" si="1"/>
        <v>0</v>
      </c>
      <c r="AD8" s="416">
        <f t="shared" si="1"/>
        <v>0</v>
      </c>
      <c r="AE8" s="417">
        <f t="shared" si="1"/>
        <v>0</v>
      </c>
      <c r="AF8" s="416">
        <f t="shared" si="1"/>
        <v>0</v>
      </c>
      <c r="AG8" s="417">
        <f t="shared" si="1"/>
        <v>0</v>
      </c>
      <c r="AH8" s="416">
        <f t="shared" si="1"/>
        <v>0</v>
      </c>
      <c r="AI8" s="417">
        <f t="shared" si="1"/>
        <v>0</v>
      </c>
      <c r="AJ8" s="416">
        <f t="shared" si="1"/>
        <v>0</v>
      </c>
      <c r="AK8" s="418">
        <f t="shared" si="1"/>
        <v>0</v>
      </c>
    </row>
    <row r="9" spans="1:37" s="112" customFormat="1" ht="12.75">
      <c r="A9" s="280"/>
      <c r="C9" s="34"/>
      <c r="D9" s="587" t="s">
        <v>150</v>
      </c>
      <c r="E9" s="587"/>
      <c r="F9" s="587"/>
      <c r="G9" s="587"/>
      <c r="H9" s="588"/>
      <c r="I9" s="35">
        <f>'Output Planerfolgsrechnung'!D8+'Output Mittelflussrechnung'!D13</f>
        <v>7</v>
      </c>
      <c r="J9" s="36">
        <f>N9+P9+R9+T9+V9+X9+Z9+AB9+AD9+AF9+AH9+AJ9</f>
        <v>0</v>
      </c>
      <c r="K9" s="37" t="str">
        <f t="shared" si="0"/>
        <v>û</v>
      </c>
      <c r="L9" s="38">
        <f>O9+Q9+S9+U9+W9+Y9+AA9+AC9+AE9+AG9+AI9+AK9</f>
        <v>0</v>
      </c>
      <c r="M9" s="39">
        <f t="shared" ref="M9:M37" si="2">L9/IF(I9=0,1,I9)</f>
        <v>0</v>
      </c>
      <c r="N9" s="40">
        <v>0</v>
      </c>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Mittelflussrechnung'!D14&gt;0,'Output Mittelflussrechnung'!D14,0)+IF('Output Mittelflussrechnung'!D17&gt;0,'Output Mittelflussrechnung'!D17,0)</f>
        <v>0</v>
      </c>
      <c r="J10" s="19">
        <f>N10+P10+R10+T10+V10+X10+Z10+AB10+AD10+AF10+AH10+AJ10</f>
        <v>0</v>
      </c>
      <c r="K10" s="21" t="str">
        <f t="shared" si="0"/>
        <v>ü</v>
      </c>
      <c r="L10" s="24">
        <f>O10+Q10+S10+U10+W10+Y10+AA10+AC10+AE10+AG10+AI10+AK10</f>
        <v>0</v>
      </c>
      <c r="M10" s="25">
        <f t="shared" si="2"/>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2"/>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2"/>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 t="shared" ref="I13:AK13" si="3">SUM(I9:I12)</f>
        <v>7</v>
      </c>
      <c r="J13" s="422">
        <f t="shared" si="3"/>
        <v>0</v>
      </c>
      <c r="K13" s="59" t="str">
        <f t="shared" si="0"/>
        <v>û</v>
      </c>
      <c r="L13" s="423">
        <f t="shared" si="3"/>
        <v>0</v>
      </c>
      <c r="M13" s="424">
        <f t="shared" si="2"/>
        <v>0</v>
      </c>
      <c r="N13" s="425">
        <f t="shared" si="3"/>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 t="shared" ref="I14:AK14" si="4">+I8+I13</f>
        <v>207</v>
      </c>
      <c r="J14" s="413">
        <f t="shared" si="4"/>
        <v>200</v>
      </c>
      <c r="K14" s="43" t="str">
        <f t="shared" si="0"/>
        <v>û</v>
      </c>
      <c r="L14" s="414">
        <f t="shared" si="4"/>
        <v>200</v>
      </c>
      <c r="M14" s="415">
        <f t="shared" si="2"/>
        <v>0.96618357487922701</v>
      </c>
      <c r="N14" s="412">
        <f t="shared" si="4"/>
        <v>200</v>
      </c>
      <c r="O14" s="429">
        <f t="shared" si="4"/>
        <v>200</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Planerfolgsrechnung'!D9-'Output Mittelflussrechnung'!D16-'Output Mittelflussrechnung'!D15</f>
        <v>7.3333333333333334E-2</v>
      </c>
      <c r="J15" s="20">
        <f t="shared" ref="J15:J23" si="5">N15+P15+R15+T15+V15+X15+Z15+AB15+AD15+AF15+AH15+AJ15</f>
        <v>0</v>
      </c>
      <c r="K15" s="23" t="str">
        <f t="shared" si="0"/>
        <v>ü</v>
      </c>
      <c r="L15" s="54">
        <f t="shared" ref="L15:L23" si="6">O15+Q15+S15+U15+W15+Y15+AA15+AC15+AE15+AG15+AI15+AK15</f>
        <v>0</v>
      </c>
      <c r="M15" s="55">
        <f t="shared" si="2"/>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Planerfolgsrechnung'!D11</f>
        <v>290</v>
      </c>
      <c r="J16" s="19">
        <f t="shared" si="5"/>
        <v>0</v>
      </c>
      <c r="K16" s="21" t="str">
        <f t="shared" si="0"/>
        <v>û</v>
      </c>
      <c r="L16" s="24">
        <f t="shared" si="6"/>
        <v>0</v>
      </c>
      <c r="M16" s="25">
        <f t="shared" si="2"/>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Planerfolgsrechnung'!D12</f>
        <v>0</v>
      </c>
      <c r="J17" s="19">
        <f t="shared" si="5"/>
        <v>0</v>
      </c>
      <c r="K17" s="21" t="str">
        <f t="shared" si="0"/>
        <v>ü</v>
      </c>
      <c r="L17" s="24">
        <f t="shared" si="6"/>
        <v>0</v>
      </c>
      <c r="M17" s="25">
        <f t="shared" si="2"/>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Planerfolgsrechnung'!D13</f>
        <v>10</v>
      </c>
      <c r="J18" s="19">
        <f t="shared" si="5"/>
        <v>0</v>
      </c>
      <c r="K18" s="21" t="str">
        <f t="shared" si="0"/>
        <v>û</v>
      </c>
      <c r="L18" s="24">
        <f t="shared" si="6"/>
        <v>0</v>
      </c>
      <c r="M18" s="25">
        <f t="shared" si="2"/>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Mittelflussrechnung'!D14&lt;0,'Output Mittelflussrechnung'!D14,0)+IF('Output Mittelflussrechnung'!D17&lt;0,'Output Mittelflussrechnung'!D17,0))+'Output Planerfolgsrechnung'!D14</f>
        <v>10</v>
      </c>
      <c r="J19" s="19">
        <f t="shared" si="5"/>
        <v>0</v>
      </c>
      <c r="K19" s="21" t="str">
        <f t="shared" si="0"/>
        <v>û</v>
      </c>
      <c r="L19" s="24">
        <f t="shared" si="6"/>
        <v>0</v>
      </c>
      <c r="M19" s="25">
        <f t="shared" si="2"/>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Planerfolgsrechnung'!D20</f>
        <v>0</v>
      </c>
      <c r="J20" s="19">
        <f t="shared" si="5"/>
        <v>0</v>
      </c>
      <c r="K20" s="21" t="str">
        <f t="shared" si="0"/>
        <v>ü</v>
      </c>
      <c r="L20" s="24">
        <f t="shared" si="6"/>
        <v>0</v>
      </c>
      <c r="M20" s="25">
        <f t="shared" si="2"/>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Planerfolgsrechnung'!D25</f>
        <v>0</v>
      </c>
      <c r="J21" s="19">
        <f t="shared" si="5"/>
        <v>0</v>
      </c>
      <c r="K21" s="21" t="str">
        <f t="shared" si="0"/>
        <v>ü</v>
      </c>
      <c r="L21" s="24">
        <f t="shared" si="6"/>
        <v>0</v>
      </c>
      <c r="M21" s="25">
        <f t="shared" si="2"/>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2"/>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2"/>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 t="shared" ref="I24:AK24" si="7">SUM(I15:I23)</f>
        <v>310.07333333333332</v>
      </c>
      <c r="J24" s="422">
        <f t="shared" si="7"/>
        <v>0</v>
      </c>
      <c r="K24" s="59" t="str">
        <f t="shared" si="0"/>
        <v>û</v>
      </c>
      <c r="L24" s="423">
        <f t="shared" si="7"/>
        <v>0</v>
      </c>
      <c r="M24" s="424">
        <f t="shared" si="2"/>
        <v>0</v>
      </c>
      <c r="N24" s="425">
        <f t="shared" si="7"/>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 t="shared" ref="I25:AK25" si="8">I13-I24</f>
        <v>-303.07333333333332</v>
      </c>
      <c r="J25" s="422">
        <f t="shared" si="8"/>
        <v>0</v>
      </c>
      <c r="K25" s="59" t="str">
        <f t="shared" si="0"/>
        <v>û</v>
      </c>
      <c r="L25" s="423">
        <f t="shared" si="8"/>
        <v>0</v>
      </c>
      <c r="M25" s="424">
        <f t="shared" si="2"/>
        <v>0</v>
      </c>
      <c r="N25" s="435">
        <f t="shared" si="8"/>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 t="shared" ref="I26:AK26" si="9">+I14-I24</f>
        <v>-103.07333333333332</v>
      </c>
      <c r="J26" s="413">
        <f t="shared" si="9"/>
        <v>200</v>
      </c>
      <c r="K26" s="43" t="str">
        <f t="shared" si="0"/>
        <v>û</v>
      </c>
      <c r="L26" s="414">
        <f>+L14-L24</f>
        <v>200</v>
      </c>
      <c r="M26" s="415">
        <f t="shared" si="2"/>
        <v>-1.9403660824008797</v>
      </c>
      <c r="N26" s="412">
        <f t="shared" si="9"/>
        <v>200</v>
      </c>
      <c r="O26" s="431">
        <f t="shared" si="9"/>
        <v>200</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Geschäftsgang'!E55+'Input Geschäftsgang'!E62+'Input Geschäftsgang'!E69</f>
        <v>0</v>
      </c>
      <c r="J27" s="20">
        <f t="shared" ref="J27:J34" si="10">N27+P27+R27+T27+V27+X27+Z27+AB27+AD27+AF27+AH27+AJ27</f>
        <v>0</v>
      </c>
      <c r="K27" s="23" t="str">
        <f t="shared" si="0"/>
        <v>ü</v>
      </c>
      <c r="L27" s="54">
        <f t="shared" ref="L27:L34" si="11">O27+Q27+S27+U27+W27+Y27+AA27+AC27+AE27+AG27+AI27+AK27</f>
        <v>0</v>
      </c>
      <c r="M27" s="55">
        <f t="shared" si="2"/>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Mittelflussrechnung'!D30+'Output Mittelflussrechnung'!D29,0)</f>
        <v>500</v>
      </c>
      <c r="J28" s="19">
        <f t="shared" si="10"/>
        <v>0</v>
      </c>
      <c r="K28" s="21" t="str">
        <f t="shared" si="0"/>
        <v>û</v>
      </c>
      <c r="L28" s="24">
        <f t="shared" si="11"/>
        <v>0</v>
      </c>
      <c r="M28" s="25">
        <f t="shared" si="2"/>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Mittelflussrechnung'!D33,0)</f>
        <v>0</v>
      </c>
      <c r="J29" s="19">
        <f t="shared" si="10"/>
        <v>0</v>
      </c>
      <c r="K29" s="21" t="str">
        <f t="shared" si="0"/>
        <v>ü</v>
      </c>
      <c r="L29" s="24">
        <f t="shared" si="11"/>
        <v>0</v>
      </c>
      <c r="M29" s="25">
        <f t="shared" si="2"/>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2"/>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Geschäftsgang'!E54+'Input Geschäftsgang'!E61+'Input Geschäftsgang'!E68)</f>
        <v>10</v>
      </c>
      <c r="J31" s="19">
        <f t="shared" si="10"/>
        <v>0</v>
      </c>
      <c r="K31" s="21" t="str">
        <f t="shared" si="0"/>
        <v>û</v>
      </c>
      <c r="L31" s="24">
        <f t="shared" si="11"/>
        <v>0</v>
      </c>
      <c r="M31" s="25">
        <f t="shared" si="2"/>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Mittelflussrechnung'!D30+'Output Mittelflussrechnung'!D29,0)</f>
        <v>0</v>
      </c>
      <c r="J32" s="19">
        <f t="shared" si="10"/>
        <v>0</v>
      </c>
      <c r="K32" s="21" t="str">
        <f t="shared" si="0"/>
        <v>ü</v>
      </c>
      <c r="L32" s="24">
        <f t="shared" si="11"/>
        <v>0</v>
      </c>
      <c r="M32" s="25">
        <f t="shared" si="2"/>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Mittelflussrechnung'!D34,0)</f>
        <v>0</v>
      </c>
      <c r="J33" s="19">
        <f t="shared" si="10"/>
        <v>0</v>
      </c>
      <c r="K33" s="21" t="str">
        <f t="shared" si="0"/>
        <v>ü</v>
      </c>
      <c r="L33" s="24">
        <f t="shared" si="11"/>
        <v>0</v>
      </c>
      <c r="M33" s="25">
        <f t="shared" si="2"/>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2"/>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186.92666666666668</v>
      </c>
      <c r="J35" s="422">
        <f>J25+SUM(J27:J29)-SUM(J31:J34)</f>
        <v>0</v>
      </c>
      <c r="K35" s="59" t="str">
        <f t="shared" si="0"/>
        <v>û</v>
      </c>
      <c r="L35" s="423">
        <f>L25+SUM(L27:L30)-SUM(L31:L34)</f>
        <v>0</v>
      </c>
      <c r="M35" s="424">
        <f t="shared" si="2"/>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386.92666666666668</v>
      </c>
      <c r="J36" s="413">
        <f>+J26+SUM(J27:J29)-SUM(J31:J34)</f>
        <v>200</v>
      </c>
      <c r="K36" s="43" t="str">
        <f t="shared" si="0"/>
        <v>û</v>
      </c>
      <c r="L36" s="414">
        <f>+L26+SUM(L27:L30)-SUM(L31:L34)</f>
        <v>200</v>
      </c>
      <c r="M36" s="415">
        <f t="shared" si="2"/>
        <v>0.51689381278106095</v>
      </c>
      <c r="N36" s="412">
        <f t="shared" ref="N36:AK36" si="13">+N26+SUM(N27:N30)-SUM(N31:N34)</f>
        <v>200</v>
      </c>
      <c r="O36" s="429">
        <f t="shared" si="13"/>
        <v>200</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386.92666666666668</v>
      </c>
      <c r="AK36" s="431">
        <f t="shared" si="13"/>
        <v>0</v>
      </c>
    </row>
    <row r="37" spans="3:37" s="112" customFormat="1" ht="13.5" thickBot="1">
      <c r="C37" s="441" t="s">
        <v>135</v>
      </c>
      <c r="D37" s="562" t="s">
        <v>152</v>
      </c>
      <c r="E37" s="562"/>
      <c r="F37" s="562"/>
      <c r="G37" s="562"/>
      <c r="H37" s="563"/>
      <c r="I37" s="442">
        <f>'Input Eröffnungsbilanz'!$K$13</f>
        <v>10</v>
      </c>
      <c r="J37" s="443">
        <f>N37</f>
        <v>10</v>
      </c>
      <c r="K37" s="22" t="str">
        <f t="shared" si="0"/>
        <v>ü</v>
      </c>
      <c r="L37" s="444">
        <f>N37</f>
        <v>10</v>
      </c>
      <c r="M37" s="445">
        <f t="shared" si="2"/>
        <v>1</v>
      </c>
      <c r="N37" s="446">
        <v>10</v>
      </c>
      <c r="O37" s="447"/>
      <c r="P37" s="446">
        <f t="shared" ref="P37:AK37" si="14">+N37</f>
        <v>10</v>
      </c>
      <c r="Q37" s="447">
        <f t="shared" si="14"/>
        <v>0</v>
      </c>
      <c r="R37" s="446">
        <f t="shared" si="14"/>
        <v>10</v>
      </c>
      <c r="S37" s="447">
        <f t="shared" si="14"/>
        <v>0</v>
      </c>
      <c r="T37" s="446">
        <f t="shared" si="14"/>
        <v>10</v>
      </c>
      <c r="U37" s="447">
        <f t="shared" si="14"/>
        <v>0</v>
      </c>
      <c r="V37" s="446">
        <f t="shared" si="14"/>
        <v>10</v>
      </c>
      <c r="W37" s="447">
        <f t="shared" si="14"/>
        <v>0</v>
      </c>
      <c r="X37" s="446">
        <f t="shared" si="14"/>
        <v>10</v>
      </c>
      <c r="Y37" s="447">
        <f t="shared" si="14"/>
        <v>0</v>
      </c>
      <c r="Z37" s="446">
        <f t="shared" si="14"/>
        <v>10</v>
      </c>
      <c r="AA37" s="447">
        <f t="shared" si="14"/>
        <v>0</v>
      </c>
      <c r="AB37" s="446">
        <f t="shared" si="14"/>
        <v>10</v>
      </c>
      <c r="AC37" s="447">
        <f t="shared" si="14"/>
        <v>0</v>
      </c>
      <c r="AD37" s="446">
        <f t="shared" si="14"/>
        <v>10</v>
      </c>
      <c r="AE37" s="447">
        <f t="shared" si="14"/>
        <v>0</v>
      </c>
      <c r="AF37" s="446">
        <f t="shared" si="14"/>
        <v>10</v>
      </c>
      <c r="AG37" s="447">
        <f t="shared" si="14"/>
        <v>0</v>
      </c>
      <c r="AH37" s="446">
        <f t="shared" si="14"/>
        <v>10</v>
      </c>
      <c r="AI37" s="447">
        <f t="shared" si="14"/>
        <v>0</v>
      </c>
      <c r="AJ37" s="448">
        <f>I37</f>
        <v>10</v>
      </c>
      <c r="AK37" s="447">
        <f t="shared" si="14"/>
        <v>0</v>
      </c>
    </row>
    <row r="38" spans="3:37" s="112" customFormat="1" thickBot="1">
      <c r="C38" s="449" t="s">
        <v>132</v>
      </c>
      <c r="D38" s="564" t="s">
        <v>147</v>
      </c>
      <c r="E38" s="564"/>
      <c r="F38" s="564"/>
      <c r="G38" s="564"/>
      <c r="H38" s="565"/>
      <c r="I38" s="450">
        <f t="shared" ref="I38:AI38" si="15">I36-I37</f>
        <v>376.92666666666668</v>
      </c>
      <c r="J38" s="451">
        <f t="shared" si="15"/>
        <v>190</v>
      </c>
      <c r="K38" s="61" t="str">
        <f t="shared" si="0"/>
        <v>û</v>
      </c>
      <c r="L38" s="452">
        <f t="shared" si="15"/>
        <v>190</v>
      </c>
      <c r="M38" s="453" t="s">
        <v>45</v>
      </c>
      <c r="N38" s="450">
        <f t="shared" si="15"/>
        <v>190</v>
      </c>
      <c r="O38" s="454">
        <f t="shared" si="15"/>
        <v>200</v>
      </c>
      <c r="P38" s="450">
        <f t="shared" si="15"/>
        <v>-10</v>
      </c>
      <c r="Q38" s="454">
        <f t="shared" si="15"/>
        <v>0</v>
      </c>
      <c r="R38" s="450">
        <f t="shared" si="15"/>
        <v>-10</v>
      </c>
      <c r="S38" s="454">
        <f t="shared" si="15"/>
        <v>0</v>
      </c>
      <c r="T38" s="450">
        <f t="shared" si="15"/>
        <v>-10</v>
      </c>
      <c r="U38" s="454">
        <f t="shared" si="15"/>
        <v>0</v>
      </c>
      <c r="V38" s="450">
        <f t="shared" si="15"/>
        <v>-10</v>
      </c>
      <c r="W38" s="454">
        <f t="shared" si="15"/>
        <v>0</v>
      </c>
      <c r="X38" s="450">
        <f t="shared" si="15"/>
        <v>-10</v>
      </c>
      <c r="Y38" s="454">
        <f t="shared" si="15"/>
        <v>0</v>
      </c>
      <c r="Z38" s="450">
        <f t="shared" si="15"/>
        <v>-10</v>
      </c>
      <c r="AA38" s="454">
        <f t="shared" si="15"/>
        <v>0</v>
      </c>
      <c r="AB38" s="450">
        <f t="shared" si="15"/>
        <v>-10</v>
      </c>
      <c r="AC38" s="454">
        <f t="shared" si="15"/>
        <v>0</v>
      </c>
      <c r="AD38" s="450">
        <f t="shared" si="15"/>
        <v>-10</v>
      </c>
      <c r="AE38" s="454">
        <f t="shared" si="15"/>
        <v>0</v>
      </c>
      <c r="AF38" s="450">
        <f t="shared" si="15"/>
        <v>-10</v>
      </c>
      <c r="AG38" s="454">
        <f t="shared" si="15"/>
        <v>0</v>
      </c>
      <c r="AH38" s="450">
        <f t="shared" si="15"/>
        <v>-10</v>
      </c>
      <c r="AI38" s="454">
        <f t="shared" si="15"/>
        <v>0</v>
      </c>
      <c r="AJ38" s="450">
        <f>I38</f>
        <v>376.92666666666668</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AH6:AI6"/>
    <mergeCell ref="AJ6:AK6"/>
    <mergeCell ref="D8:H8"/>
    <mergeCell ref="X6:Y6"/>
    <mergeCell ref="Z6:AA6"/>
    <mergeCell ref="AB6:AC6"/>
    <mergeCell ref="AD6:AE6"/>
    <mergeCell ref="P6:Q6"/>
    <mergeCell ref="R6:S6"/>
    <mergeCell ref="T6:U6"/>
    <mergeCell ref="D10:H10"/>
    <mergeCell ref="D11:H11"/>
    <mergeCell ref="D9:H9"/>
    <mergeCell ref="AF6:AG6"/>
    <mergeCell ref="V6:W6"/>
    <mergeCell ref="C6:H7"/>
    <mergeCell ref="I6:M6"/>
    <mergeCell ref="N6:O6"/>
    <mergeCell ref="D17:H17"/>
    <mergeCell ref="D20:H20"/>
    <mergeCell ref="D12:H12"/>
    <mergeCell ref="D34:H34"/>
    <mergeCell ref="D28:H28"/>
    <mergeCell ref="D29:H29"/>
    <mergeCell ref="D31:H31"/>
    <mergeCell ref="D30:H30"/>
    <mergeCell ref="D13:H13"/>
    <mergeCell ref="D14:H14"/>
    <mergeCell ref="D15:H15"/>
    <mergeCell ref="D21:H21"/>
    <mergeCell ref="C2:M2"/>
    <mergeCell ref="D36:H36"/>
    <mergeCell ref="D37:H37"/>
    <mergeCell ref="D38:H38"/>
    <mergeCell ref="D18:H18"/>
    <mergeCell ref="D19:H19"/>
    <mergeCell ref="D35:H35"/>
    <mergeCell ref="D26:H26"/>
    <mergeCell ref="D27:H27"/>
    <mergeCell ref="D22:H22"/>
    <mergeCell ref="C4:M4"/>
    <mergeCell ref="D32:H32"/>
    <mergeCell ref="D33:H33"/>
    <mergeCell ref="D23:H23"/>
    <mergeCell ref="D25:H25"/>
    <mergeCell ref="D16:H16"/>
  </mergeCells>
  <phoneticPr fontId="0" type="noConversion"/>
  <conditionalFormatting sqref="K9">
    <cfRule type="cellIs" dxfId="4"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in="1" max="37" man="1"/>
    <brk id="25" min="1" max="37" man="1"/>
    <brk id="31" min="1" max="37"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1:AK454"/>
  <sheetViews>
    <sheetView showGridLines="0" showRowColHeaders="0" topLeftCell="A2" zoomScale="84" zoomScaleNormal="84" workbookViewId="0">
      <pane xSplit="13" ySplit="3" topLeftCell="N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",Hauptübersicht!K14)</f>
        <v>Liquiditätsplan 2018</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Planbilanz'!F8</f>
        <v>386.92666666666668</v>
      </c>
      <c r="J8" s="413">
        <f>N8</f>
        <v>386.92666666666668</v>
      </c>
      <c r="K8" s="43" t="str">
        <f t="shared" ref="K8:K38" si="0">IF(J8-I8&gt;1,"û",IF(J8-I8&lt;-1,"û","ü"))</f>
        <v>ü</v>
      </c>
      <c r="L8" s="414">
        <f>N8</f>
        <v>386.92666666666668</v>
      </c>
      <c r="M8" s="415">
        <f t="shared" ref="M8:M37" si="1">L8/IF(I8=0,1,I8)</f>
        <v>1</v>
      </c>
      <c r="N8" s="416">
        <f>I8</f>
        <v>386.92666666666668</v>
      </c>
      <c r="O8" s="417">
        <f>I8</f>
        <v>386.92666666666668</v>
      </c>
      <c r="P8" s="416">
        <f t="shared" ref="P8:AK8" si="2">IF(AND(SUM(P9:P12)=0,SUM(P15:P23)=0),0,+N36)</f>
        <v>0</v>
      </c>
      <c r="Q8" s="417">
        <f t="shared" si="2"/>
        <v>0</v>
      </c>
      <c r="R8" s="416">
        <f t="shared" si="2"/>
        <v>0</v>
      </c>
      <c r="S8" s="417">
        <f t="shared" si="2"/>
        <v>0</v>
      </c>
      <c r="T8" s="416">
        <f t="shared" si="2"/>
        <v>0</v>
      </c>
      <c r="U8" s="417">
        <f t="shared" si="2"/>
        <v>0</v>
      </c>
      <c r="V8" s="416">
        <f t="shared" si="2"/>
        <v>0</v>
      </c>
      <c r="W8" s="417">
        <f t="shared" si="2"/>
        <v>0</v>
      </c>
      <c r="X8" s="416">
        <f t="shared" si="2"/>
        <v>0</v>
      </c>
      <c r="Y8" s="417">
        <f t="shared" si="2"/>
        <v>0</v>
      </c>
      <c r="Z8" s="416">
        <f t="shared" si="2"/>
        <v>0</v>
      </c>
      <c r="AA8" s="417">
        <f t="shared" si="2"/>
        <v>0</v>
      </c>
      <c r="AB8" s="416">
        <f t="shared" si="2"/>
        <v>0</v>
      </c>
      <c r="AC8" s="417">
        <f t="shared" si="2"/>
        <v>0</v>
      </c>
      <c r="AD8" s="416">
        <f t="shared" si="2"/>
        <v>0</v>
      </c>
      <c r="AE8" s="417">
        <f t="shared" si="2"/>
        <v>0</v>
      </c>
      <c r="AF8" s="416">
        <f t="shared" si="2"/>
        <v>0</v>
      </c>
      <c r="AG8" s="417">
        <f t="shared" si="2"/>
        <v>0</v>
      </c>
      <c r="AH8" s="416">
        <f t="shared" si="2"/>
        <v>0</v>
      </c>
      <c r="AI8" s="417">
        <f t="shared" si="2"/>
        <v>0</v>
      </c>
      <c r="AJ8" s="416">
        <f t="shared" si="2"/>
        <v>0</v>
      </c>
      <c r="AK8" s="418">
        <f t="shared" si="2"/>
        <v>0</v>
      </c>
    </row>
    <row r="9" spans="1:37" s="112" customFormat="1" ht="12.75">
      <c r="A9" s="280"/>
      <c r="C9" s="34"/>
      <c r="D9" s="587" t="s">
        <v>150</v>
      </c>
      <c r="E9" s="587"/>
      <c r="F9" s="587"/>
      <c r="G9" s="587"/>
      <c r="H9" s="588"/>
      <c r="I9" s="35">
        <f>'Output Planerfolgsrechnung'!F8+'Output Mittelflussrechnung'!F13</f>
        <v>62.25</v>
      </c>
      <c r="J9" s="36">
        <f>N9+P9+R9+T9+V9+X9+Z9+AB9+AD9+AF9+AH9+AJ9</f>
        <v>0</v>
      </c>
      <c r="K9" s="37" t="str">
        <f t="shared" si="0"/>
        <v>û</v>
      </c>
      <c r="L9" s="38">
        <f>O9+Q9+S9+U9+W9+Y9+AA9+AC9+AE9+AG9+AI9+AK9</f>
        <v>0</v>
      </c>
      <c r="M9" s="39">
        <f t="shared" si="1"/>
        <v>0</v>
      </c>
      <c r="N9" s="40"/>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Mittelflussrechnung'!F14&gt;0,'Output Mittelflussrechnung'!F14,0)+IF('Output Mittelflussrechnung'!F17&gt;0,'Output Mittelflussrechnung'!F17,0)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62.25</v>
      </c>
      <c r="J13" s="422">
        <f>SUM(J9:J12)</f>
        <v>0</v>
      </c>
      <c r="K13" s="59" t="str">
        <f t="shared" si="0"/>
        <v>û</v>
      </c>
      <c r="L13" s="423">
        <f>SUM(L9:L12)</f>
        <v>0</v>
      </c>
      <c r="M13" s="424">
        <f t="shared" si="1"/>
        <v>0</v>
      </c>
      <c r="N13" s="425">
        <f t="shared" ref="N13:AK13" si="3">SUM(N9:N12)</f>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+I8+I13</f>
        <v>449.17666666666668</v>
      </c>
      <c r="J14" s="413">
        <f>+J8+J13</f>
        <v>386.92666666666668</v>
      </c>
      <c r="K14" s="43" t="str">
        <f t="shared" si="0"/>
        <v>û</v>
      </c>
      <c r="L14" s="414">
        <f>+L8+L13</f>
        <v>386.92666666666668</v>
      </c>
      <c r="M14" s="415">
        <f t="shared" si="1"/>
        <v>0.8614131039754217</v>
      </c>
      <c r="N14" s="412">
        <f t="shared" ref="N14:AK14" si="4">+N8+N13</f>
        <v>386.92666666666668</v>
      </c>
      <c r="O14" s="429">
        <f t="shared" si="4"/>
        <v>386.92666666666668</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Planerfolgsrechnung'!F9-'Output Mittelflussrechnung'!F16-'Output Mittelflussrechnung'!F15</f>
        <v>0.64833333333333343</v>
      </c>
      <c r="J15" s="20">
        <f t="shared" ref="J15:J23" si="5">N15+P15+R15+T15+V15+X15+Z15+AB15+AD15+AF15+AH15+AJ15</f>
        <v>0</v>
      </c>
      <c r="K15" s="23" t="str">
        <f t="shared" si="0"/>
        <v>ü</v>
      </c>
      <c r="L15" s="54">
        <f t="shared" ref="L15:L23" si="6">O15+Q15+S15+U15+W15+Y15+AA15+AC15+AE15+AG15+AI15+AK15</f>
        <v>0</v>
      </c>
      <c r="M15" s="55">
        <f t="shared" si="1"/>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Planerfolgsrechnung'!F11</f>
        <v>290</v>
      </c>
      <c r="J16" s="19">
        <f t="shared" si="5"/>
        <v>0</v>
      </c>
      <c r="K16" s="21" t="str">
        <f t="shared" si="0"/>
        <v>û</v>
      </c>
      <c r="L16" s="24">
        <f t="shared" si="6"/>
        <v>0</v>
      </c>
      <c r="M16" s="25">
        <f t="shared" si="1"/>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Planerfolgsrechnung'!F12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Planerfolgsrechnung'!F13</f>
        <v>10</v>
      </c>
      <c r="J18" s="19">
        <f t="shared" si="5"/>
        <v>0</v>
      </c>
      <c r="K18" s="21" t="str">
        <f t="shared" si="0"/>
        <v>û</v>
      </c>
      <c r="L18" s="24">
        <f t="shared" si="6"/>
        <v>0</v>
      </c>
      <c r="M18" s="25">
        <f t="shared" si="1"/>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Mittelflussrechnung'!F14&lt;0,'Output Mittelflussrechnung'!F14,0)+IF('Output Mittelflussrechnung'!F17&lt;0,'Output Mittelflussrechnung'!F17,0))+'Output Planerfolgsrechnung'!F14</f>
        <v>10</v>
      </c>
      <c r="J19" s="19">
        <f t="shared" si="5"/>
        <v>0</v>
      </c>
      <c r="K19" s="21" t="str">
        <f t="shared" si="0"/>
        <v>û</v>
      </c>
      <c r="L19" s="24">
        <f t="shared" si="6"/>
        <v>0</v>
      </c>
      <c r="M19" s="25">
        <f t="shared" si="1"/>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Planerfolgsrechnung'!F20</f>
        <v>25</v>
      </c>
      <c r="J20" s="19">
        <f t="shared" si="5"/>
        <v>0</v>
      </c>
      <c r="K20" s="21" t="str">
        <f t="shared" si="0"/>
        <v>û</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Planerfolgsrechnung'!F25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335.64833333333331</v>
      </c>
      <c r="J24" s="422">
        <f>SUM(J15:J23)</f>
        <v>0</v>
      </c>
      <c r="K24" s="59" t="str">
        <f t="shared" si="0"/>
        <v>û</v>
      </c>
      <c r="L24" s="423">
        <f>SUM(L15:L23)</f>
        <v>0</v>
      </c>
      <c r="M24" s="424">
        <f t="shared" si="1"/>
        <v>0</v>
      </c>
      <c r="N24" s="425">
        <f t="shared" ref="N24:AK24" si="7">SUM(N15:N23)</f>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I13-I24</f>
        <v>-273.39833333333331</v>
      </c>
      <c r="J25" s="422">
        <f>J13-J24</f>
        <v>0</v>
      </c>
      <c r="K25" s="59" t="str">
        <f t="shared" si="0"/>
        <v>û</v>
      </c>
      <c r="L25" s="423">
        <f>L13-L24</f>
        <v>0</v>
      </c>
      <c r="M25" s="424">
        <f t="shared" si="1"/>
        <v>0</v>
      </c>
      <c r="N25" s="435">
        <f t="shared" ref="N25:AK25" si="8">N13-N24</f>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+I14-I24</f>
        <v>113.52833333333336</v>
      </c>
      <c r="J26" s="413">
        <f>+J14-J24</f>
        <v>386.92666666666668</v>
      </c>
      <c r="K26" s="43" t="str">
        <f t="shared" si="0"/>
        <v>û</v>
      </c>
      <c r="L26" s="414">
        <f>+L14-L24</f>
        <v>386.92666666666668</v>
      </c>
      <c r="M26" s="415">
        <f t="shared" si="1"/>
        <v>3.4081947237840766</v>
      </c>
      <c r="N26" s="412">
        <f t="shared" ref="N26:AK26" si="9">+N14-N24</f>
        <v>386.92666666666668</v>
      </c>
      <c r="O26" s="431">
        <f t="shared" si="9"/>
        <v>386.92666666666668</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Geschäftsgang'!G55+'Input Geschäftsgang'!G62+'Input Geschäftsgang'!G69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Mittelflussrechnung'!F30+'Output Mittelflussrechnung'!F29,0)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Mittelflussrechnung'!F33,0)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Geschäftsgang'!G54+'Input Geschäftsgang'!G61+'Input Geschäftsgang'!G68)</f>
        <v>5</v>
      </c>
      <c r="J31" s="19">
        <f t="shared" si="10"/>
        <v>0</v>
      </c>
      <c r="K31" s="21" t="str">
        <f t="shared" si="0"/>
        <v>û</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Mittelflussrechnung'!F30+'Output Mittelflussrechnung'!F29,0)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Mittelflussrechnung'!F34,0)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-278.39833333333331</v>
      </c>
      <c r="J35" s="422">
        <f>J25+SUM(J27:J29)-SUM(J31:J34)</f>
        <v>0</v>
      </c>
      <c r="K35" s="59" t="str">
        <f t="shared" si="0"/>
        <v>û</v>
      </c>
      <c r="L35" s="423">
        <f>L25+SUM(L27:L30)-SUM(L31:L34)</f>
        <v>0</v>
      </c>
      <c r="M35" s="424">
        <f t="shared" si="1"/>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108.52833333333336</v>
      </c>
      <c r="J36" s="413">
        <f>+J26+SUM(J27:J29)-SUM(J31:J34)</f>
        <v>386.92666666666668</v>
      </c>
      <c r="K36" s="43" t="str">
        <f t="shared" si="0"/>
        <v>û</v>
      </c>
      <c r="L36" s="414">
        <f>+L26+SUM(L27:L30)-SUM(L31:L34)</f>
        <v>386.92666666666668</v>
      </c>
      <c r="M36" s="415">
        <f t="shared" si="1"/>
        <v>3.565213385137521</v>
      </c>
      <c r="N36" s="412">
        <f t="shared" ref="N36:AI36" si="13">+N26+SUM(N27:N30)-SUM(N31:N34)</f>
        <v>386.92666666666668</v>
      </c>
      <c r="O36" s="429">
        <f t="shared" si="13"/>
        <v>386.92666666666668</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108.52833333333336</v>
      </c>
      <c r="AK36" s="431">
        <f>+AK26+SUM(AK27:AK30)-SUM(AK31:AK34)</f>
        <v>0</v>
      </c>
    </row>
    <row r="37" spans="3:37" s="112" customFormat="1" ht="13.5" thickBot="1">
      <c r="C37" s="441" t="s">
        <v>135</v>
      </c>
      <c r="D37" s="562" t="s">
        <v>152</v>
      </c>
      <c r="E37" s="562"/>
      <c r="F37" s="562"/>
      <c r="G37" s="562"/>
      <c r="H37" s="563"/>
      <c r="I37" s="442">
        <f>'Input Eröffnungsbilanz'!$K$13</f>
        <v>10</v>
      </c>
      <c r="J37" s="443">
        <f>N37</f>
        <v>0</v>
      </c>
      <c r="K37" s="22" t="str">
        <f t="shared" si="0"/>
        <v>û</v>
      </c>
      <c r="L37" s="444">
        <f>N37</f>
        <v>0</v>
      </c>
      <c r="M37" s="445">
        <f t="shared" si="1"/>
        <v>0</v>
      </c>
      <c r="N37" s="446"/>
      <c r="O37" s="447"/>
      <c r="P37" s="446">
        <f t="shared" ref="P37:AI37" si="14">+N37</f>
        <v>0</v>
      </c>
      <c r="Q37" s="447">
        <f t="shared" si="14"/>
        <v>0</v>
      </c>
      <c r="R37" s="446">
        <f t="shared" si="14"/>
        <v>0</v>
      </c>
      <c r="S37" s="447">
        <f t="shared" si="14"/>
        <v>0</v>
      </c>
      <c r="T37" s="446">
        <f t="shared" si="14"/>
        <v>0</v>
      </c>
      <c r="U37" s="447">
        <f t="shared" si="14"/>
        <v>0</v>
      </c>
      <c r="V37" s="446">
        <f t="shared" si="14"/>
        <v>0</v>
      </c>
      <c r="W37" s="447">
        <f t="shared" si="14"/>
        <v>0</v>
      </c>
      <c r="X37" s="446">
        <f t="shared" si="14"/>
        <v>0</v>
      </c>
      <c r="Y37" s="447">
        <f t="shared" si="14"/>
        <v>0</v>
      </c>
      <c r="Z37" s="446">
        <f t="shared" si="14"/>
        <v>0</v>
      </c>
      <c r="AA37" s="447">
        <f t="shared" si="14"/>
        <v>0</v>
      </c>
      <c r="AB37" s="446">
        <f t="shared" si="14"/>
        <v>0</v>
      </c>
      <c r="AC37" s="447">
        <f t="shared" si="14"/>
        <v>0</v>
      </c>
      <c r="AD37" s="446">
        <f t="shared" si="14"/>
        <v>0</v>
      </c>
      <c r="AE37" s="447">
        <f t="shared" si="14"/>
        <v>0</v>
      </c>
      <c r="AF37" s="446">
        <f t="shared" si="14"/>
        <v>0</v>
      </c>
      <c r="AG37" s="447">
        <f t="shared" si="14"/>
        <v>0</v>
      </c>
      <c r="AH37" s="446">
        <f t="shared" si="14"/>
        <v>0</v>
      </c>
      <c r="AI37" s="447">
        <f t="shared" si="14"/>
        <v>0</v>
      </c>
      <c r="AJ37" s="448">
        <f>I37</f>
        <v>10</v>
      </c>
      <c r="AK37" s="447">
        <f>+AI37</f>
        <v>0</v>
      </c>
    </row>
    <row r="38" spans="3:37" s="112" customFormat="1" thickBot="1">
      <c r="C38" s="449" t="s">
        <v>132</v>
      </c>
      <c r="D38" s="564" t="s">
        <v>147</v>
      </c>
      <c r="E38" s="564"/>
      <c r="F38" s="564"/>
      <c r="G38" s="564"/>
      <c r="H38" s="565"/>
      <c r="I38" s="450">
        <f>I36-I37</f>
        <v>98.528333333333364</v>
      </c>
      <c r="J38" s="451">
        <f>J36-J37</f>
        <v>386.92666666666668</v>
      </c>
      <c r="K38" s="61" t="str">
        <f t="shared" si="0"/>
        <v>û</v>
      </c>
      <c r="L38" s="452">
        <f>L36-L37</f>
        <v>386.92666666666668</v>
      </c>
      <c r="M38" s="453" t="s">
        <v>45</v>
      </c>
      <c r="N38" s="450">
        <f t="shared" ref="N38:AI38" si="15">N36-N37</f>
        <v>386.92666666666668</v>
      </c>
      <c r="O38" s="454">
        <f t="shared" si="15"/>
        <v>386.92666666666668</v>
      </c>
      <c r="P38" s="450">
        <f t="shared" si="15"/>
        <v>0</v>
      </c>
      <c r="Q38" s="454">
        <f t="shared" si="15"/>
        <v>0</v>
      </c>
      <c r="R38" s="450">
        <f t="shared" si="15"/>
        <v>0</v>
      </c>
      <c r="S38" s="454">
        <f t="shared" si="15"/>
        <v>0</v>
      </c>
      <c r="T38" s="450">
        <f t="shared" si="15"/>
        <v>0</v>
      </c>
      <c r="U38" s="454">
        <f t="shared" si="15"/>
        <v>0</v>
      </c>
      <c r="V38" s="450">
        <f t="shared" si="15"/>
        <v>0</v>
      </c>
      <c r="W38" s="454">
        <f t="shared" si="15"/>
        <v>0</v>
      </c>
      <c r="X38" s="450">
        <f t="shared" si="15"/>
        <v>0</v>
      </c>
      <c r="Y38" s="454">
        <f t="shared" si="15"/>
        <v>0</v>
      </c>
      <c r="Z38" s="450">
        <f t="shared" si="15"/>
        <v>0</v>
      </c>
      <c r="AA38" s="454">
        <f t="shared" si="15"/>
        <v>0</v>
      </c>
      <c r="AB38" s="450">
        <f t="shared" si="15"/>
        <v>0</v>
      </c>
      <c r="AC38" s="454">
        <f t="shared" si="15"/>
        <v>0</v>
      </c>
      <c r="AD38" s="450">
        <f t="shared" si="15"/>
        <v>0</v>
      </c>
      <c r="AE38" s="454">
        <f t="shared" si="15"/>
        <v>0</v>
      </c>
      <c r="AF38" s="450">
        <f t="shared" si="15"/>
        <v>0</v>
      </c>
      <c r="AG38" s="454">
        <f t="shared" si="15"/>
        <v>0</v>
      </c>
      <c r="AH38" s="450">
        <f t="shared" si="15"/>
        <v>0</v>
      </c>
      <c r="AI38" s="454">
        <f t="shared" si="15"/>
        <v>0</v>
      </c>
      <c r="AJ38" s="450">
        <f>I38</f>
        <v>98.528333333333364</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C2:M2"/>
    <mergeCell ref="D36:H36"/>
    <mergeCell ref="D37:H37"/>
    <mergeCell ref="D38:H38"/>
    <mergeCell ref="D18:H18"/>
    <mergeCell ref="D19:H19"/>
    <mergeCell ref="D35:H35"/>
    <mergeCell ref="D26:H26"/>
    <mergeCell ref="D27:H27"/>
    <mergeCell ref="D22:H22"/>
    <mergeCell ref="D21:H21"/>
    <mergeCell ref="C4:M4"/>
    <mergeCell ref="D32:H32"/>
    <mergeCell ref="D33:H33"/>
    <mergeCell ref="D23:H23"/>
    <mergeCell ref="D25:H25"/>
    <mergeCell ref="D16:H16"/>
    <mergeCell ref="D17:H17"/>
    <mergeCell ref="D20:H20"/>
    <mergeCell ref="D12:H12"/>
    <mergeCell ref="D34:H34"/>
    <mergeCell ref="D28:H28"/>
    <mergeCell ref="D29:H29"/>
    <mergeCell ref="D31:H31"/>
    <mergeCell ref="D30:H30"/>
    <mergeCell ref="D13:H13"/>
    <mergeCell ref="D14:H14"/>
    <mergeCell ref="D15:H15"/>
    <mergeCell ref="D10:H10"/>
    <mergeCell ref="D11:H11"/>
    <mergeCell ref="D9:H9"/>
    <mergeCell ref="AF6:AG6"/>
    <mergeCell ref="V6:W6"/>
    <mergeCell ref="C6:H7"/>
    <mergeCell ref="I6:M6"/>
    <mergeCell ref="N6:O6"/>
    <mergeCell ref="AH6:AI6"/>
    <mergeCell ref="AJ6:AK6"/>
    <mergeCell ref="D8:H8"/>
    <mergeCell ref="X6:Y6"/>
    <mergeCell ref="Z6:AA6"/>
    <mergeCell ref="AB6:AC6"/>
    <mergeCell ref="AD6:AE6"/>
    <mergeCell ref="P6:Q6"/>
    <mergeCell ref="R6:S6"/>
    <mergeCell ref="T6:U6"/>
  </mergeCells>
  <phoneticPr fontId="0" type="noConversion"/>
  <conditionalFormatting sqref="K9">
    <cfRule type="cellIs" dxfId="3"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dimension ref="A1:AK454"/>
  <sheetViews>
    <sheetView showGridLines="0" showRowColHeaders="0" topLeftCell="A2" zoomScale="84" zoomScaleNormal="84" workbookViewId="0">
      <pane xSplit="13" ySplit="3" topLeftCell="N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",Hauptübersicht!K15)</f>
        <v>Liquiditätsplan 2019</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Planbilanz'!H8</f>
        <v>108.52833333333342</v>
      </c>
      <c r="J8" s="413">
        <f>N8</f>
        <v>108.52833333333342</v>
      </c>
      <c r="K8" s="43" t="str">
        <f t="shared" ref="K8:K38" si="0">IF(J8-I8&gt;1,"û",IF(J8-I8&lt;-1,"û","ü"))</f>
        <v>ü</v>
      </c>
      <c r="L8" s="414">
        <f>N8</f>
        <v>108.52833333333342</v>
      </c>
      <c r="M8" s="415">
        <f t="shared" ref="M8:M37" si="1">L8/IF(I8=0,1,I8)</f>
        <v>1</v>
      </c>
      <c r="N8" s="416">
        <f>I8</f>
        <v>108.52833333333342</v>
      </c>
      <c r="O8" s="417">
        <f>I8</f>
        <v>108.52833333333342</v>
      </c>
      <c r="P8" s="416">
        <f t="shared" ref="P8:AK8" si="2">IF(AND(SUM(P9:P12)=0,SUM(P15:P23)=0),0,+N36)</f>
        <v>0</v>
      </c>
      <c r="Q8" s="417">
        <f t="shared" si="2"/>
        <v>0</v>
      </c>
      <c r="R8" s="416">
        <f t="shared" si="2"/>
        <v>0</v>
      </c>
      <c r="S8" s="417">
        <f t="shared" si="2"/>
        <v>0</v>
      </c>
      <c r="T8" s="416">
        <f t="shared" si="2"/>
        <v>0</v>
      </c>
      <c r="U8" s="417">
        <f t="shared" si="2"/>
        <v>0</v>
      </c>
      <c r="V8" s="416">
        <f t="shared" si="2"/>
        <v>0</v>
      </c>
      <c r="W8" s="417">
        <f t="shared" si="2"/>
        <v>0</v>
      </c>
      <c r="X8" s="416">
        <f t="shared" si="2"/>
        <v>0</v>
      </c>
      <c r="Y8" s="417">
        <f t="shared" si="2"/>
        <v>0</v>
      </c>
      <c r="Z8" s="416">
        <f t="shared" si="2"/>
        <v>0</v>
      </c>
      <c r="AA8" s="417">
        <f t="shared" si="2"/>
        <v>0</v>
      </c>
      <c r="AB8" s="416">
        <f t="shared" si="2"/>
        <v>0</v>
      </c>
      <c r="AC8" s="417">
        <f t="shared" si="2"/>
        <v>0</v>
      </c>
      <c r="AD8" s="416">
        <f t="shared" si="2"/>
        <v>0</v>
      </c>
      <c r="AE8" s="417">
        <f t="shared" si="2"/>
        <v>0</v>
      </c>
      <c r="AF8" s="416">
        <f t="shared" si="2"/>
        <v>0</v>
      </c>
      <c r="AG8" s="417">
        <f t="shared" si="2"/>
        <v>0</v>
      </c>
      <c r="AH8" s="416">
        <f t="shared" si="2"/>
        <v>0</v>
      </c>
      <c r="AI8" s="417">
        <f t="shared" si="2"/>
        <v>0</v>
      </c>
      <c r="AJ8" s="416">
        <f t="shared" si="2"/>
        <v>0</v>
      </c>
      <c r="AK8" s="418">
        <f t="shared" si="2"/>
        <v>0</v>
      </c>
    </row>
    <row r="9" spans="1:37" s="112" customFormat="1" ht="12.75">
      <c r="A9" s="280"/>
      <c r="C9" s="34"/>
      <c r="D9" s="587" t="s">
        <v>150</v>
      </c>
      <c r="E9" s="587"/>
      <c r="F9" s="587"/>
      <c r="G9" s="587"/>
      <c r="H9" s="588"/>
      <c r="I9" s="35">
        <f>'Output Planerfolgsrechnung'!H8+'Output Mittelflussrechnung'!H13</f>
        <v>271.25</v>
      </c>
      <c r="J9" s="36">
        <f>N9+P9+R9+T9+V9+X9+Z9+AB9+AD9+AF9+AH9+AJ9</f>
        <v>0</v>
      </c>
      <c r="K9" s="37" t="str">
        <f t="shared" si="0"/>
        <v>û</v>
      </c>
      <c r="L9" s="38">
        <f>O9+Q9+S9+U9+W9+Y9+AA9+AC9+AE9+AG9+AI9+AK9</f>
        <v>0</v>
      </c>
      <c r="M9" s="39">
        <f t="shared" si="1"/>
        <v>0</v>
      </c>
      <c r="N9" s="40"/>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Mittelflussrechnung'!H14&gt;0,'Output Mittelflussrechnung'!H14,0)+IF('Output Mittelflussrechnung'!H17&gt;0,'Output Mittelflussrechnung'!H17,0)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271.25</v>
      </c>
      <c r="J13" s="422">
        <f>SUM(J9:J12)</f>
        <v>0</v>
      </c>
      <c r="K13" s="59" t="str">
        <f t="shared" si="0"/>
        <v>û</v>
      </c>
      <c r="L13" s="423">
        <f>SUM(L9:L12)</f>
        <v>0</v>
      </c>
      <c r="M13" s="424">
        <f t="shared" si="1"/>
        <v>0</v>
      </c>
      <c r="N13" s="425">
        <f t="shared" ref="N13:AK13" si="3">SUM(N9:N12)</f>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+I8+I13</f>
        <v>379.77833333333342</v>
      </c>
      <c r="J14" s="413">
        <f>+J8+J13</f>
        <v>108.52833333333342</v>
      </c>
      <c r="K14" s="43" t="str">
        <f t="shared" si="0"/>
        <v>û</v>
      </c>
      <c r="L14" s="414">
        <f>+L8+L13</f>
        <v>108.52833333333342</v>
      </c>
      <c r="M14" s="415">
        <f t="shared" si="1"/>
        <v>0.28576757494503391</v>
      </c>
      <c r="N14" s="412">
        <f t="shared" ref="N14:AK14" si="4">+N8+N13</f>
        <v>108.52833333333342</v>
      </c>
      <c r="O14" s="429">
        <f t="shared" si="4"/>
        <v>108.52833333333342</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Planerfolgsrechnung'!H9-'Output Mittelflussrechnung'!H16-'Output Mittelflussrechnung'!H15</f>
        <v>2.8083333333333336</v>
      </c>
      <c r="J15" s="20">
        <f t="shared" ref="J15:J23" si="5">N15+P15+R15+T15+V15+X15+Z15+AB15+AD15+AF15+AH15+AJ15</f>
        <v>0</v>
      </c>
      <c r="K15" s="23" t="str">
        <f t="shared" si="0"/>
        <v>û</v>
      </c>
      <c r="L15" s="54">
        <f t="shared" ref="L15:L23" si="6">O15+Q15+S15+U15+W15+Y15+AA15+AC15+AE15+AG15+AI15+AK15</f>
        <v>0</v>
      </c>
      <c r="M15" s="55">
        <f t="shared" si="1"/>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Planerfolgsrechnung'!H11</f>
        <v>290</v>
      </c>
      <c r="J16" s="19">
        <f t="shared" si="5"/>
        <v>0</v>
      </c>
      <c r="K16" s="21" t="str">
        <f t="shared" si="0"/>
        <v>û</v>
      </c>
      <c r="L16" s="24">
        <f t="shared" si="6"/>
        <v>0</v>
      </c>
      <c r="M16" s="25">
        <f t="shared" si="1"/>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Planerfolgsrechnung'!H12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Planerfolgsrechnung'!H13</f>
        <v>15</v>
      </c>
      <c r="J18" s="19">
        <f t="shared" si="5"/>
        <v>0</v>
      </c>
      <c r="K18" s="21" t="str">
        <f t="shared" si="0"/>
        <v>û</v>
      </c>
      <c r="L18" s="24">
        <f t="shared" si="6"/>
        <v>0</v>
      </c>
      <c r="M18" s="25">
        <f t="shared" si="1"/>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Mittelflussrechnung'!H14&lt;0,'Output Mittelflussrechnung'!H14,0)+IF('Output Mittelflussrechnung'!H17&lt;0,'Output Mittelflussrechnung'!H17,0))+'Output Planerfolgsrechnung'!H14</f>
        <v>10</v>
      </c>
      <c r="J19" s="19">
        <f t="shared" si="5"/>
        <v>0</v>
      </c>
      <c r="K19" s="21" t="str">
        <f t="shared" si="0"/>
        <v>û</v>
      </c>
      <c r="L19" s="24">
        <f t="shared" si="6"/>
        <v>0</v>
      </c>
      <c r="M19" s="25">
        <f t="shared" si="1"/>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Planerfolgsrechnung'!H20</f>
        <v>25</v>
      </c>
      <c r="J20" s="19">
        <f t="shared" si="5"/>
        <v>0</v>
      </c>
      <c r="K20" s="21" t="str">
        <f t="shared" si="0"/>
        <v>û</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Planerfolgsrechnung'!H25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342.80833333333334</v>
      </c>
      <c r="J24" s="422">
        <f>SUM(J15:J23)</f>
        <v>0</v>
      </c>
      <c r="K24" s="59" t="str">
        <f t="shared" si="0"/>
        <v>û</v>
      </c>
      <c r="L24" s="423">
        <f>SUM(L15:L23)</f>
        <v>0</v>
      </c>
      <c r="M24" s="424">
        <f t="shared" si="1"/>
        <v>0</v>
      </c>
      <c r="N24" s="425">
        <f t="shared" ref="N24:AK24" si="7">SUM(N15:N23)</f>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I13-I24</f>
        <v>-71.558333333333337</v>
      </c>
      <c r="J25" s="422">
        <f>J13-J24</f>
        <v>0</v>
      </c>
      <c r="K25" s="59" t="str">
        <f t="shared" si="0"/>
        <v>û</v>
      </c>
      <c r="L25" s="423">
        <f>L13-L24</f>
        <v>0</v>
      </c>
      <c r="M25" s="424">
        <f t="shared" si="1"/>
        <v>0</v>
      </c>
      <c r="N25" s="435">
        <f t="shared" ref="N25:AK25" si="8">N13-N24</f>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+I14-I24</f>
        <v>36.970000000000084</v>
      </c>
      <c r="J26" s="413">
        <f>+J14-J24</f>
        <v>108.52833333333342</v>
      </c>
      <c r="K26" s="43" t="str">
        <f t="shared" si="0"/>
        <v>û</v>
      </c>
      <c r="L26" s="414">
        <f>+L14-L24</f>
        <v>108.52833333333342</v>
      </c>
      <c r="M26" s="415">
        <f t="shared" si="1"/>
        <v>2.9355783968983817</v>
      </c>
      <c r="N26" s="412">
        <f t="shared" ref="N26:AK26" si="9">+N14-N24</f>
        <v>108.52833333333342</v>
      </c>
      <c r="O26" s="431">
        <f t="shared" si="9"/>
        <v>108.52833333333342</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Geschäftsgang'!I55+'Input Geschäftsgang'!I62+'Input Geschäftsgang'!I69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Mittelflussrechnung'!H30+'Output Mittelflussrechnung'!H29,0)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Mittelflussrechnung'!H33,0)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Geschäftsgang'!I54+'Input Geschäftsgang'!I61+'Input Geschäftsgang'!I68)</f>
        <v>3</v>
      </c>
      <c r="J31" s="19">
        <f t="shared" si="10"/>
        <v>0</v>
      </c>
      <c r="K31" s="21" t="str">
        <f t="shared" si="0"/>
        <v>û</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Mittelflussrechnung'!H30+'Output Mittelflussrechnung'!H29,0)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Mittelflussrechnung'!H34,0)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-74.558333333333337</v>
      </c>
      <c r="J35" s="422">
        <f>J25+SUM(J27:J29)-SUM(J31:J34)</f>
        <v>0</v>
      </c>
      <c r="K35" s="59" t="str">
        <f t="shared" si="0"/>
        <v>û</v>
      </c>
      <c r="L35" s="423">
        <f>L25+SUM(L27:L30)-SUM(L31:L34)</f>
        <v>0</v>
      </c>
      <c r="M35" s="424">
        <f t="shared" si="1"/>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33.970000000000084</v>
      </c>
      <c r="J36" s="413">
        <f>+J26+SUM(J27:J29)-SUM(J31:J34)</f>
        <v>108.52833333333342</v>
      </c>
      <c r="K36" s="43" t="str">
        <f t="shared" si="0"/>
        <v>û</v>
      </c>
      <c r="L36" s="414">
        <f>+L26+SUM(L27:L30)-SUM(L31:L34)</f>
        <v>108.52833333333342</v>
      </c>
      <c r="M36" s="415">
        <f t="shared" si="1"/>
        <v>3.1948287704837548</v>
      </c>
      <c r="N36" s="412">
        <f t="shared" ref="N36:AI36" si="13">+N26+SUM(N27:N30)-SUM(N31:N34)</f>
        <v>108.52833333333342</v>
      </c>
      <c r="O36" s="429">
        <f t="shared" si="13"/>
        <v>108.52833333333342</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33.970000000000084</v>
      </c>
      <c r="AK36" s="431">
        <f>+AK26+SUM(AK27:AK30)-SUM(AK31:AK34)</f>
        <v>0</v>
      </c>
    </row>
    <row r="37" spans="3:37" s="112" customFormat="1" ht="13.5" thickBot="1">
      <c r="C37" s="441" t="s">
        <v>135</v>
      </c>
      <c r="D37" s="562" t="s">
        <v>152</v>
      </c>
      <c r="E37" s="562"/>
      <c r="F37" s="562"/>
      <c r="G37" s="562"/>
      <c r="H37" s="563"/>
      <c r="I37" s="442">
        <f>'Input Eröffnungsbilanz'!$K$13</f>
        <v>10</v>
      </c>
      <c r="J37" s="443">
        <f>N37</f>
        <v>0</v>
      </c>
      <c r="K37" s="22" t="str">
        <f t="shared" si="0"/>
        <v>û</v>
      </c>
      <c r="L37" s="444">
        <f>N37</f>
        <v>0</v>
      </c>
      <c r="M37" s="445">
        <f t="shared" si="1"/>
        <v>0</v>
      </c>
      <c r="N37" s="446"/>
      <c r="O37" s="447"/>
      <c r="P37" s="446">
        <f t="shared" ref="P37:AI37" si="14">+N37</f>
        <v>0</v>
      </c>
      <c r="Q37" s="447">
        <f t="shared" si="14"/>
        <v>0</v>
      </c>
      <c r="R37" s="446">
        <f t="shared" si="14"/>
        <v>0</v>
      </c>
      <c r="S37" s="447">
        <f t="shared" si="14"/>
        <v>0</v>
      </c>
      <c r="T37" s="446">
        <f t="shared" si="14"/>
        <v>0</v>
      </c>
      <c r="U37" s="447">
        <f t="shared" si="14"/>
        <v>0</v>
      </c>
      <c r="V37" s="446">
        <f t="shared" si="14"/>
        <v>0</v>
      </c>
      <c r="W37" s="447">
        <f t="shared" si="14"/>
        <v>0</v>
      </c>
      <c r="X37" s="446">
        <f t="shared" si="14"/>
        <v>0</v>
      </c>
      <c r="Y37" s="447">
        <f t="shared" si="14"/>
        <v>0</v>
      </c>
      <c r="Z37" s="446">
        <f t="shared" si="14"/>
        <v>0</v>
      </c>
      <c r="AA37" s="447">
        <f t="shared" si="14"/>
        <v>0</v>
      </c>
      <c r="AB37" s="446">
        <f t="shared" si="14"/>
        <v>0</v>
      </c>
      <c r="AC37" s="447">
        <f t="shared" si="14"/>
        <v>0</v>
      </c>
      <c r="AD37" s="446">
        <f t="shared" si="14"/>
        <v>0</v>
      </c>
      <c r="AE37" s="447">
        <f t="shared" si="14"/>
        <v>0</v>
      </c>
      <c r="AF37" s="446">
        <f t="shared" si="14"/>
        <v>0</v>
      </c>
      <c r="AG37" s="447">
        <f t="shared" si="14"/>
        <v>0</v>
      </c>
      <c r="AH37" s="446">
        <f t="shared" si="14"/>
        <v>0</v>
      </c>
      <c r="AI37" s="447">
        <f t="shared" si="14"/>
        <v>0</v>
      </c>
      <c r="AJ37" s="448">
        <f>I37</f>
        <v>10</v>
      </c>
      <c r="AK37" s="447">
        <f>+AI37</f>
        <v>0</v>
      </c>
    </row>
    <row r="38" spans="3:37" s="112" customFormat="1" thickBot="1">
      <c r="C38" s="449" t="s">
        <v>132</v>
      </c>
      <c r="D38" s="564" t="s">
        <v>147</v>
      </c>
      <c r="E38" s="564"/>
      <c r="F38" s="564"/>
      <c r="G38" s="564"/>
      <c r="H38" s="565"/>
      <c r="I38" s="450">
        <f>I36-I37</f>
        <v>23.970000000000084</v>
      </c>
      <c r="J38" s="451">
        <f>J36-J37</f>
        <v>108.52833333333342</v>
      </c>
      <c r="K38" s="61" t="str">
        <f t="shared" si="0"/>
        <v>û</v>
      </c>
      <c r="L38" s="452">
        <f>L36-L37</f>
        <v>108.52833333333342</v>
      </c>
      <c r="M38" s="453" t="s">
        <v>45</v>
      </c>
      <c r="N38" s="450">
        <f t="shared" ref="N38:AI38" si="15">N36-N37</f>
        <v>108.52833333333342</v>
      </c>
      <c r="O38" s="454">
        <f t="shared" si="15"/>
        <v>108.52833333333342</v>
      </c>
      <c r="P38" s="450">
        <f t="shared" si="15"/>
        <v>0</v>
      </c>
      <c r="Q38" s="454">
        <f t="shared" si="15"/>
        <v>0</v>
      </c>
      <c r="R38" s="450">
        <f t="shared" si="15"/>
        <v>0</v>
      </c>
      <c r="S38" s="454">
        <f t="shared" si="15"/>
        <v>0</v>
      </c>
      <c r="T38" s="450">
        <f t="shared" si="15"/>
        <v>0</v>
      </c>
      <c r="U38" s="454">
        <f t="shared" si="15"/>
        <v>0</v>
      </c>
      <c r="V38" s="450">
        <f t="shared" si="15"/>
        <v>0</v>
      </c>
      <c r="W38" s="454">
        <f t="shared" si="15"/>
        <v>0</v>
      </c>
      <c r="X38" s="450">
        <f t="shared" si="15"/>
        <v>0</v>
      </c>
      <c r="Y38" s="454">
        <f t="shared" si="15"/>
        <v>0</v>
      </c>
      <c r="Z38" s="450">
        <f t="shared" si="15"/>
        <v>0</v>
      </c>
      <c r="AA38" s="454">
        <f t="shared" si="15"/>
        <v>0</v>
      </c>
      <c r="AB38" s="450">
        <f t="shared" si="15"/>
        <v>0</v>
      </c>
      <c r="AC38" s="454">
        <f t="shared" si="15"/>
        <v>0</v>
      </c>
      <c r="AD38" s="450">
        <f t="shared" si="15"/>
        <v>0</v>
      </c>
      <c r="AE38" s="454">
        <f t="shared" si="15"/>
        <v>0</v>
      </c>
      <c r="AF38" s="450">
        <f t="shared" si="15"/>
        <v>0</v>
      </c>
      <c r="AG38" s="454">
        <f t="shared" si="15"/>
        <v>0</v>
      </c>
      <c r="AH38" s="450">
        <f t="shared" si="15"/>
        <v>0</v>
      </c>
      <c r="AI38" s="454">
        <f t="shared" si="15"/>
        <v>0</v>
      </c>
      <c r="AJ38" s="450">
        <f>I38</f>
        <v>23.970000000000084</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AH6:AI6"/>
    <mergeCell ref="AJ6:AK6"/>
    <mergeCell ref="D8:H8"/>
    <mergeCell ref="X6:Y6"/>
    <mergeCell ref="Z6:AA6"/>
    <mergeCell ref="AB6:AC6"/>
    <mergeCell ref="AD6:AE6"/>
    <mergeCell ref="P6:Q6"/>
    <mergeCell ref="R6:S6"/>
    <mergeCell ref="T6:U6"/>
    <mergeCell ref="D10:H10"/>
    <mergeCell ref="D11:H11"/>
    <mergeCell ref="D9:H9"/>
    <mergeCell ref="AF6:AG6"/>
    <mergeCell ref="V6:W6"/>
    <mergeCell ref="C6:H7"/>
    <mergeCell ref="I6:M6"/>
    <mergeCell ref="N6:O6"/>
    <mergeCell ref="D17:H17"/>
    <mergeCell ref="D20:H20"/>
    <mergeCell ref="D12:H12"/>
    <mergeCell ref="D34:H34"/>
    <mergeCell ref="D28:H28"/>
    <mergeCell ref="D29:H29"/>
    <mergeCell ref="D31:H31"/>
    <mergeCell ref="D30:H30"/>
    <mergeCell ref="D13:H13"/>
    <mergeCell ref="D14:H14"/>
    <mergeCell ref="D15:H15"/>
    <mergeCell ref="D21:H21"/>
    <mergeCell ref="C2:M2"/>
    <mergeCell ref="D36:H36"/>
    <mergeCell ref="D37:H37"/>
    <mergeCell ref="D38:H38"/>
    <mergeCell ref="D18:H18"/>
    <mergeCell ref="D19:H19"/>
    <mergeCell ref="D35:H35"/>
    <mergeCell ref="D26:H26"/>
    <mergeCell ref="D27:H27"/>
    <mergeCell ref="D22:H22"/>
    <mergeCell ref="C4:M4"/>
    <mergeCell ref="D32:H32"/>
    <mergeCell ref="D33:H33"/>
    <mergeCell ref="D23:H23"/>
    <mergeCell ref="D25:H25"/>
    <mergeCell ref="D16:H16"/>
  </mergeCells>
  <phoneticPr fontId="0" type="noConversion"/>
  <conditionalFormatting sqref="K9">
    <cfRule type="cellIs" dxfId="2"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A1:AK454"/>
  <sheetViews>
    <sheetView showGridLines="0" showRowColHeaders="0" topLeftCell="A2" zoomScale="84" zoomScaleNormal="84" workbookViewId="0">
      <pane xSplit="13" ySplit="3" topLeftCell="N5" activePane="bottomRight" state="frozenSplit"/>
      <selection activeCell="C25" sqref="C25:D25"/>
      <selection pane="topRight" activeCell="C25" sqref="C25:D25"/>
      <selection pane="bottomLeft" activeCell="C25" sqref="C25:D25"/>
      <selection pane="bottomRight"/>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",Hauptübersicht!K16)</f>
        <v>Liquiditätsplan 2020</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Planbilanz'!J8</f>
        <v>33.970000000000084</v>
      </c>
      <c r="J8" s="413">
        <f>N8</f>
        <v>33.970000000000084</v>
      </c>
      <c r="K8" s="43" t="str">
        <f t="shared" ref="K8:K38" si="0">IF(J8-I8&gt;1,"û",IF(J8-I8&lt;-1,"û","ü"))</f>
        <v>ü</v>
      </c>
      <c r="L8" s="414">
        <f>N8</f>
        <v>33.970000000000084</v>
      </c>
      <c r="M8" s="415">
        <f t="shared" ref="M8:M37" si="1">L8/IF(I8=0,1,I8)</f>
        <v>1</v>
      </c>
      <c r="N8" s="416">
        <f>I8</f>
        <v>33.970000000000084</v>
      </c>
      <c r="O8" s="417">
        <f>I8</f>
        <v>33.970000000000084</v>
      </c>
      <c r="P8" s="416">
        <f t="shared" ref="P8:AK8" si="2">IF(AND(SUM(P9:P12)=0,SUM(P15:P23)=0),0,+N36)</f>
        <v>0</v>
      </c>
      <c r="Q8" s="417">
        <f t="shared" si="2"/>
        <v>0</v>
      </c>
      <c r="R8" s="416">
        <f t="shared" si="2"/>
        <v>0</v>
      </c>
      <c r="S8" s="417">
        <f t="shared" si="2"/>
        <v>0</v>
      </c>
      <c r="T8" s="416">
        <f t="shared" si="2"/>
        <v>0</v>
      </c>
      <c r="U8" s="417">
        <f t="shared" si="2"/>
        <v>0</v>
      </c>
      <c r="V8" s="416">
        <f t="shared" si="2"/>
        <v>0</v>
      </c>
      <c r="W8" s="417">
        <f t="shared" si="2"/>
        <v>0</v>
      </c>
      <c r="X8" s="416">
        <f t="shared" si="2"/>
        <v>0</v>
      </c>
      <c r="Y8" s="417">
        <f t="shared" si="2"/>
        <v>0</v>
      </c>
      <c r="Z8" s="416">
        <f t="shared" si="2"/>
        <v>0</v>
      </c>
      <c r="AA8" s="417">
        <f t="shared" si="2"/>
        <v>0</v>
      </c>
      <c r="AB8" s="416">
        <f t="shared" si="2"/>
        <v>0</v>
      </c>
      <c r="AC8" s="417">
        <f t="shared" si="2"/>
        <v>0</v>
      </c>
      <c r="AD8" s="416">
        <f t="shared" si="2"/>
        <v>0</v>
      </c>
      <c r="AE8" s="417">
        <f t="shared" si="2"/>
        <v>0</v>
      </c>
      <c r="AF8" s="416">
        <f t="shared" si="2"/>
        <v>0</v>
      </c>
      <c r="AG8" s="417">
        <f t="shared" si="2"/>
        <v>0</v>
      </c>
      <c r="AH8" s="416">
        <f t="shared" si="2"/>
        <v>0</v>
      </c>
      <c r="AI8" s="417">
        <f t="shared" si="2"/>
        <v>0</v>
      </c>
      <c r="AJ8" s="416">
        <f t="shared" si="2"/>
        <v>0</v>
      </c>
      <c r="AK8" s="418">
        <f t="shared" si="2"/>
        <v>0</v>
      </c>
    </row>
    <row r="9" spans="1:37" s="112" customFormat="1" ht="12.75">
      <c r="A9" s="280"/>
      <c r="C9" s="34"/>
      <c r="D9" s="587" t="s">
        <v>150</v>
      </c>
      <c r="E9" s="587"/>
      <c r="F9" s="587"/>
      <c r="G9" s="587"/>
      <c r="H9" s="588"/>
      <c r="I9" s="35">
        <f>'Output Planerfolgsrechnung'!J8+'Output Mittelflussrechnung'!J13</f>
        <v>37.5</v>
      </c>
      <c r="J9" s="36">
        <f>N9+P9+R9+T9+V9+X9+Z9+AB9+AD9+AF9+AH9+AJ9</f>
        <v>0</v>
      </c>
      <c r="K9" s="37" t="str">
        <f t="shared" si="0"/>
        <v>û</v>
      </c>
      <c r="L9" s="38">
        <f>O9+Q9+S9+U9+W9+Y9+AA9+AC9+AE9+AG9+AI9+AK9</f>
        <v>0</v>
      </c>
      <c r="M9" s="39">
        <f t="shared" si="1"/>
        <v>0</v>
      </c>
      <c r="N9" s="40"/>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Mittelflussrechnung'!J14&gt;0,'Output Mittelflussrechnung'!J14,0)+IF('Output Mittelflussrechnung'!J17&gt;0,'Output Mittelflussrechnung'!J17,0)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37.5</v>
      </c>
      <c r="J13" s="422">
        <f>SUM(J9:J12)</f>
        <v>0</v>
      </c>
      <c r="K13" s="59" t="str">
        <f t="shared" si="0"/>
        <v>û</v>
      </c>
      <c r="L13" s="423">
        <f>SUM(L9:L12)</f>
        <v>0</v>
      </c>
      <c r="M13" s="424">
        <f t="shared" si="1"/>
        <v>0</v>
      </c>
      <c r="N13" s="425">
        <f t="shared" ref="N13:AK13" si="3">SUM(N9:N12)</f>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+I8+I13</f>
        <v>71.470000000000084</v>
      </c>
      <c r="J14" s="413">
        <f>+J8+J13</f>
        <v>33.970000000000084</v>
      </c>
      <c r="K14" s="43" t="str">
        <f t="shared" si="0"/>
        <v>û</v>
      </c>
      <c r="L14" s="414">
        <f>+L8+L13</f>
        <v>33.970000000000084</v>
      </c>
      <c r="M14" s="415">
        <f t="shared" si="1"/>
        <v>0.47530432349237506</v>
      </c>
      <c r="N14" s="412">
        <f t="shared" ref="N14:AK14" si="4">+N8+N13</f>
        <v>33.970000000000084</v>
      </c>
      <c r="O14" s="429">
        <f t="shared" si="4"/>
        <v>33.970000000000084</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Planerfolgsrechnung'!J9-'Output Mittelflussrechnung'!J16-'Output Mittelflussrechnung'!J15</f>
        <v>0.25</v>
      </c>
      <c r="J15" s="20">
        <f t="shared" ref="J15:J23" si="5">N15+P15+R15+T15+V15+X15+Z15+AB15+AD15+AF15+AH15+AJ15</f>
        <v>0</v>
      </c>
      <c r="K15" s="23" t="str">
        <f t="shared" si="0"/>
        <v>ü</v>
      </c>
      <c r="L15" s="54">
        <f t="shared" ref="L15:L23" si="6">O15+Q15+S15+U15+W15+Y15+AA15+AC15+AE15+AG15+AI15+AK15</f>
        <v>0</v>
      </c>
      <c r="M15" s="55">
        <f t="shared" si="1"/>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Planerfolgsrechnung'!J11</f>
        <v>0</v>
      </c>
      <c r="J16" s="19">
        <f t="shared" si="5"/>
        <v>0</v>
      </c>
      <c r="K16" s="21" t="str">
        <f t="shared" si="0"/>
        <v>ü</v>
      </c>
      <c r="L16" s="24">
        <f t="shared" si="6"/>
        <v>0</v>
      </c>
      <c r="M16" s="25">
        <f t="shared" si="1"/>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Planerfolgsrechnung'!J12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Planerfolgsrechnung'!J13</f>
        <v>0</v>
      </c>
      <c r="J18" s="19">
        <f t="shared" si="5"/>
        <v>0</v>
      </c>
      <c r="K18" s="21" t="str">
        <f t="shared" si="0"/>
        <v>ü</v>
      </c>
      <c r="L18" s="24">
        <f t="shared" si="6"/>
        <v>0</v>
      </c>
      <c r="M18" s="25">
        <f t="shared" si="1"/>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Mittelflussrechnung'!J14&lt;0,'Output Mittelflussrechnung'!J14,0)+IF('Output Mittelflussrechnung'!J17&lt;0,'Output Mittelflussrechnung'!J17,0))+'Output Planerfolgsrechnung'!J14</f>
        <v>0</v>
      </c>
      <c r="J19" s="19">
        <f t="shared" si="5"/>
        <v>0</v>
      </c>
      <c r="K19" s="21" t="str">
        <f t="shared" si="0"/>
        <v>ü</v>
      </c>
      <c r="L19" s="24">
        <f t="shared" si="6"/>
        <v>0</v>
      </c>
      <c r="M19" s="25">
        <f t="shared" si="1"/>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Planerfolgsrechnung'!J20</f>
        <v>0</v>
      </c>
      <c r="J20" s="19">
        <f t="shared" si="5"/>
        <v>0</v>
      </c>
      <c r="K20" s="21" t="str">
        <f t="shared" si="0"/>
        <v>ü</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Planerfolgsrechnung'!J25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0.25</v>
      </c>
      <c r="J24" s="422">
        <f>SUM(J15:J23)</f>
        <v>0</v>
      </c>
      <c r="K24" s="59" t="str">
        <f t="shared" si="0"/>
        <v>ü</v>
      </c>
      <c r="L24" s="423">
        <f>SUM(L15:L23)</f>
        <v>0</v>
      </c>
      <c r="M24" s="424">
        <f t="shared" si="1"/>
        <v>0</v>
      </c>
      <c r="N24" s="425">
        <f t="shared" ref="N24:AK24" si="7">SUM(N15:N23)</f>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I13-I24</f>
        <v>37.25</v>
      </c>
      <c r="J25" s="422">
        <f>J13-J24</f>
        <v>0</v>
      </c>
      <c r="K25" s="59" t="str">
        <f t="shared" si="0"/>
        <v>û</v>
      </c>
      <c r="L25" s="423">
        <f>L13-L24</f>
        <v>0</v>
      </c>
      <c r="M25" s="424">
        <f t="shared" si="1"/>
        <v>0</v>
      </c>
      <c r="N25" s="435">
        <f t="shared" ref="N25:AK25" si="8">N13-N24</f>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+I14-I24</f>
        <v>71.220000000000084</v>
      </c>
      <c r="J26" s="413">
        <f>+J14-J24</f>
        <v>33.970000000000084</v>
      </c>
      <c r="K26" s="43" t="str">
        <f t="shared" si="0"/>
        <v>û</v>
      </c>
      <c r="L26" s="414">
        <f>+L14-L24</f>
        <v>33.970000000000084</v>
      </c>
      <c r="M26" s="415">
        <f t="shared" si="1"/>
        <v>0.47697276046054543</v>
      </c>
      <c r="N26" s="412">
        <f t="shared" ref="N26:AK26" si="9">+N14-N24</f>
        <v>33.970000000000084</v>
      </c>
      <c r="O26" s="431">
        <f t="shared" si="9"/>
        <v>33.970000000000084</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Geschäftsgang'!K55+'Input Geschäftsgang'!K62+'Input Geschäftsgang'!K69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Mittelflussrechnung'!J30+'Output Mittelflussrechnung'!J29,0)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Mittelflussrechnung'!J33,0)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Geschäftsgang'!K54+'Input Geschäftsgang'!K61+'Input Geschäftsgang'!K68)</f>
        <v>0</v>
      </c>
      <c r="J31" s="19">
        <f t="shared" si="10"/>
        <v>0</v>
      </c>
      <c r="K31" s="21" t="str">
        <f t="shared" si="0"/>
        <v>ü</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Mittelflussrechnung'!J30+'Output Mittelflussrechnung'!J29,0)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Mittelflussrechnung'!J34,0)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37.25</v>
      </c>
      <c r="J35" s="422">
        <f>J25+SUM(J27:J29)-SUM(J31:J34)</f>
        <v>0</v>
      </c>
      <c r="K35" s="59" t="str">
        <f t="shared" si="0"/>
        <v>û</v>
      </c>
      <c r="L35" s="423">
        <f>L25+SUM(L27:L30)-SUM(L31:L34)</f>
        <v>0</v>
      </c>
      <c r="M35" s="424">
        <f t="shared" si="1"/>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71.220000000000084</v>
      </c>
      <c r="J36" s="413">
        <f>+J26+SUM(J27:J29)-SUM(J31:J34)</f>
        <v>33.970000000000084</v>
      </c>
      <c r="K36" s="43" t="str">
        <f t="shared" si="0"/>
        <v>û</v>
      </c>
      <c r="L36" s="414">
        <f>+L26+SUM(L27:L30)-SUM(L31:L34)</f>
        <v>33.970000000000084</v>
      </c>
      <c r="M36" s="415">
        <f t="shared" si="1"/>
        <v>0.47697276046054543</v>
      </c>
      <c r="N36" s="412">
        <f t="shared" ref="N36:AI36" si="13">+N26+SUM(N27:N30)-SUM(N31:N34)</f>
        <v>33.970000000000084</v>
      </c>
      <c r="O36" s="429">
        <f t="shared" si="13"/>
        <v>33.970000000000084</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71.220000000000084</v>
      </c>
      <c r="AK36" s="431">
        <f>+AK26+SUM(AK27:AK30)-SUM(AK31:AK34)</f>
        <v>0</v>
      </c>
    </row>
    <row r="37" spans="3:37" s="112" customFormat="1" ht="13.5" thickBot="1">
      <c r="C37" s="441" t="s">
        <v>135</v>
      </c>
      <c r="D37" s="562" t="s">
        <v>152</v>
      </c>
      <c r="E37" s="562"/>
      <c r="F37" s="562"/>
      <c r="G37" s="562"/>
      <c r="H37" s="563"/>
      <c r="I37" s="442">
        <f>'Input Eröffnungsbilanz'!$K$13</f>
        <v>10</v>
      </c>
      <c r="J37" s="443">
        <f>N37</f>
        <v>0</v>
      </c>
      <c r="K37" s="22" t="str">
        <f t="shared" si="0"/>
        <v>û</v>
      </c>
      <c r="L37" s="444">
        <f>N37</f>
        <v>0</v>
      </c>
      <c r="M37" s="445">
        <f t="shared" si="1"/>
        <v>0</v>
      </c>
      <c r="N37" s="446"/>
      <c r="O37" s="447"/>
      <c r="P37" s="446">
        <f t="shared" ref="P37:AI37" si="14">+N37</f>
        <v>0</v>
      </c>
      <c r="Q37" s="447">
        <f t="shared" si="14"/>
        <v>0</v>
      </c>
      <c r="R37" s="446">
        <f t="shared" si="14"/>
        <v>0</v>
      </c>
      <c r="S37" s="447">
        <f t="shared" si="14"/>
        <v>0</v>
      </c>
      <c r="T37" s="446">
        <f t="shared" si="14"/>
        <v>0</v>
      </c>
      <c r="U37" s="447">
        <f t="shared" si="14"/>
        <v>0</v>
      </c>
      <c r="V37" s="446">
        <f t="shared" si="14"/>
        <v>0</v>
      </c>
      <c r="W37" s="447">
        <f t="shared" si="14"/>
        <v>0</v>
      </c>
      <c r="X37" s="446">
        <f t="shared" si="14"/>
        <v>0</v>
      </c>
      <c r="Y37" s="447">
        <f t="shared" si="14"/>
        <v>0</v>
      </c>
      <c r="Z37" s="446">
        <f t="shared" si="14"/>
        <v>0</v>
      </c>
      <c r="AA37" s="447">
        <f t="shared" si="14"/>
        <v>0</v>
      </c>
      <c r="AB37" s="446">
        <f t="shared" si="14"/>
        <v>0</v>
      </c>
      <c r="AC37" s="447">
        <f t="shared" si="14"/>
        <v>0</v>
      </c>
      <c r="AD37" s="446">
        <f t="shared" si="14"/>
        <v>0</v>
      </c>
      <c r="AE37" s="447">
        <f t="shared" si="14"/>
        <v>0</v>
      </c>
      <c r="AF37" s="446">
        <f t="shared" si="14"/>
        <v>0</v>
      </c>
      <c r="AG37" s="447">
        <f t="shared" si="14"/>
        <v>0</v>
      </c>
      <c r="AH37" s="446">
        <f t="shared" si="14"/>
        <v>0</v>
      </c>
      <c r="AI37" s="447">
        <f t="shared" si="14"/>
        <v>0</v>
      </c>
      <c r="AJ37" s="448">
        <f>I37</f>
        <v>10</v>
      </c>
      <c r="AK37" s="447">
        <f>+AI37</f>
        <v>0</v>
      </c>
    </row>
    <row r="38" spans="3:37" s="112" customFormat="1" thickBot="1">
      <c r="C38" s="449" t="s">
        <v>132</v>
      </c>
      <c r="D38" s="564" t="s">
        <v>147</v>
      </c>
      <c r="E38" s="564"/>
      <c r="F38" s="564"/>
      <c r="G38" s="564"/>
      <c r="H38" s="565"/>
      <c r="I38" s="450">
        <f>I36-I37</f>
        <v>61.220000000000084</v>
      </c>
      <c r="J38" s="451">
        <f>J36-J37</f>
        <v>33.970000000000084</v>
      </c>
      <c r="K38" s="61" t="str">
        <f t="shared" si="0"/>
        <v>û</v>
      </c>
      <c r="L38" s="452">
        <f>L36-L37</f>
        <v>33.970000000000084</v>
      </c>
      <c r="M38" s="453" t="s">
        <v>45</v>
      </c>
      <c r="N38" s="450">
        <f t="shared" ref="N38:AI38" si="15">N36-N37</f>
        <v>33.970000000000084</v>
      </c>
      <c r="O38" s="454">
        <f t="shared" si="15"/>
        <v>33.970000000000084</v>
      </c>
      <c r="P38" s="450">
        <f t="shared" si="15"/>
        <v>0</v>
      </c>
      <c r="Q38" s="454">
        <f t="shared" si="15"/>
        <v>0</v>
      </c>
      <c r="R38" s="450">
        <f t="shared" si="15"/>
        <v>0</v>
      </c>
      <c r="S38" s="454">
        <f t="shared" si="15"/>
        <v>0</v>
      </c>
      <c r="T38" s="450">
        <f t="shared" si="15"/>
        <v>0</v>
      </c>
      <c r="U38" s="454">
        <f t="shared" si="15"/>
        <v>0</v>
      </c>
      <c r="V38" s="450">
        <f t="shared" si="15"/>
        <v>0</v>
      </c>
      <c r="W38" s="454">
        <f t="shared" si="15"/>
        <v>0</v>
      </c>
      <c r="X38" s="450">
        <f t="shared" si="15"/>
        <v>0</v>
      </c>
      <c r="Y38" s="454">
        <f t="shared" si="15"/>
        <v>0</v>
      </c>
      <c r="Z38" s="450">
        <f t="shared" si="15"/>
        <v>0</v>
      </c>
      <c r="AA38" s="454">
        <f t="shared" si="15"/>
        <v>0</v>
      </c>
      <c r="AB38" s="450">
        <f t="shared" si="15"/>
        <v>0</v>
      </c>
      <c r="AC38" s="454">
        <f t="shared" si="15"/>
        <v>0</v>
      </c>
      <c r="AD38" s="450">
        <f t="shared" si="15"/>
        <v>0</v>
      </c>
      <c r="AE38" s="454">
        <f t="shared" si="15"/>
        <v>0</v>
      </c>
      <c r="AF38" s="450">
        <f t="shared" si="15"/>
        <v>0</v>
      </c>
      <c r="AG38" s="454">
        <f t="shared" si="15"/>
        <v>0</v>
      </c>
      <c r="AH38" s="450">
        <f t="shared" si="15"/>
        <v>0</v>
      </c>
      <c r="AI38" s="454">
        <f t="shared" si="15"/>
        <v>0</v>
      </c>
      <c r="AJ38" s="450">
        <f>I38</f>
        <v>61.220000000000084</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C2:M2"/>
    <mergeCell ref="D36:H36"/>
    <mergeCell ref="D37:H37"/>
    <mergeCell ref="D38:H38"/>
    <mergeCell ref="D18:H18"/>
    <mergeCell ref="D19:H19"/>
    <mergeCell ref="D35:H35"/>
    <mergeCell ref="D26:H26"/>
    <mergeCell ref="D27:H27"/>
    <mergeCell ref="D22:H22"/>
    <mergeCell ref="D21:H21"/>
    <mergeCell ref="C4:M4"/>
    <mergeCell ref="D32:H32"/>
    <mergeCell ref="D33:H33"/>
    <mergeCell ref="D23:H23"/>
    <mergeCell ref="D25:H25"/>
    <mergeCell ref="D16:H16"/>
    <mergeCell ref="D17:H17"/>
    <mergeCell ref="D20:H20"/>
    <mergeCell ref="D12:H12"/>
    <mergeCell ref="D34:H34"/>
    <mergeCell ref="D28:H28"/>
    <mergeCell ref="D29:H29"/>
    <mergeCell ref="D31:H31"/>
    <mergeCell ref="D30:H30"/>
    <mergeCell ref="D13:H13"/>
    <mergeCell ref="D14:H14"/>
    <mergeCell ref="D15:H15"/>
    <mergeCell ref="D10:H10"/>
    <mergeCell ref="D11:H11"/>
    <mergeCell ref="D9:H9"/>
    <mergeCell ref="AF6:AG6"/>
    <mergeCell ref="V6:W6"/>
    <mergeCell ref="C6:H7"/>
    <mergeCell ref="I6:M6"/>
    <mergeCell ref="N6:O6"/>
    <mergeCell ref="AH6:AI6"/>
    <mergeCell ref="AJ6:AK6"/>
    <mergeCell ref="D8:H8"/>
    <mergeCell ref="X6:Y6"/>
    <mergeCell ref="Z6:AA6"/>
    <mergeCell ref="AB6:AC6"/>
    <mergeCell ref="AD6:AE6"/>
    <mergeCell ref="P6:Q6"/>
    <mergeCell ref="R6:S6"/>
    <mergeCell ref="T6:U6"/>
  </mergeCells>
  <phoneticPr fontId="0" type="noConversion"/>
  <conditionalFormatting sqref="K9">
    <cfRule type="cellIs" dxfId="1"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dimension ref="A1:AK454"/>
  <sheetViews>
    <sheetView showGridLines="0" showRowColHeaders="0" topLeftCell="A2" zoomScale="84" zoomScaleNormal="84" workbookViewId="0">
      <pane xSplit="13" ySplit="3" topLeftCell="N5" activePane="bottomRight" state="frozenSplit"/>
      <selection activeCell="C25" sqref="C25:D25"/>
      <selection pane="topRight" activeCell="C25" sqref="C25:D25"/>
      <selection pane="bottomLeft" activeCell="C25" sqref="C25:D25"/>
      <selection pane="bottomRight" activeCell="N5" sqref="N5"/>
    </sheetView>
  </sheetViews>
  <sheetFormatPr baseColWidth="10" defaultColWidth="11.5" defaultRowHeight="15"/>
  <cols>
    <col min="1" max="1" width="11.5" style="70" customWidth="1"/>
    <col min="2" max="2" width="4.75" style="70" customWidth="1"/>
    <col min="3" max="3" width="1.875" style="70" customWidth="1"/>
    <col min="4" max="4" width="9.75" style="408" customWidth="1"/>
    <col min="5" max="5" width="7.5" style="169" customWidth="1"/>
    <col min="6" max="6" width="9.75" style="408" customWidth="1"/>
    <col min="7" max="7" width="7" style="169" customWidth="1"/>
    <col min="8" max="8" width="6.25" style="409" customWidth="1"/>
    <col min="9" max="10" width="10" style="70" customWidth="1"/>
    <col min="11" max="11" width="2.5" style="455" customWidth="1"/>
    <col min="12" max="12" width="10" style="455" customWidth="1"/>
    <col min="13" max="13" width="5.5" style="456" customWidth="1"/>
    <col min="14" max="14" width="9.75" style="70" customWidth="1"/>
    <col min="15" max="15" width="9.75" style="409" customWidth="1"/>
    <col min="16" max="37" width="9.75" style="70" customWidth="1"/>
    <col min="38" max="16384" width="11.5" style="70"/>
  </cols>
  <sheetData>
    <row r="1" spans="1:37" s="112" customFormat="1" ht="12.75" hidden="1">
      <c r="A1" s="287"/>
      <c r="D1" s="387"/>
      <c r="E1" s="206"/>
      <c r="F1" s="387"/>
      <c r="G1" s="206"/>
      <c r="H1" s="388"/>
      <c r="K1" s="410"/>
      <c r="L1" s="410"/>
      <c r="M1" s="411"/>
      <c r="O1" s="388"/>
    </row>
    <row r="2" spans="1:37" s="112" customFormat="1" ht="15" customHeight="1">
      <c r="C2" s="551" t="str">
        <f>IF(Hauptübersicht!E13="","Bitte Firma unter 'Home' ergänzen",Hauptübersicht!E13)</f>
        <v>GitFit</v>
      </c>
      <c r="D2" s="552"/>
      <c r="E2" s="552"/>
      <c r="F2" s="552"/>
      <c r="G2" s="552"/>
      <c r="H2" s="552"/>
      <c r="I2" s="552"/>
      <c r="J2" s="552"/>
      <c r="K2" s="552"/>
      <c r="L2" s="552"/>
      <c r="M2" s="553"/>
      <c r="O2" s="388"/>
    </row>
    <row r="3" spans="1:37" s="112" customFormat="1" ht="15" customHeight="1">
      <c r="D3" s="387"/>
      <c r="E3" s="206"/>
      <c r="F3" s="387"/>
      <c r="G3" s="206"/>
      <c r="H3" s="388"/>
      <c r="K3" s="410"/>
      <c r="L3" s="410"/>
      <c r="M3" s="411"/>
      <c r="O3" s="388"/>
    </row>
    <row r="4" spans="1:37" s="112" customFormat="1" ht="27" customHeight="1">
      <c r="A4" s="172"/>
      <c r="C4" s="574" t="str">
        <f>CONCATENATE("Liquiditätsplan ",Hauptübersicht!K17)</f>
        <v>Liquiditätsplan 2021</v>
      </c>
      <c r="D4" s="574"/>
      <c r="E4" s="574"/>
      <c r="F4" s="574"/>
      <c r="G4" s="574"/>
      <c r="H4" s="574"/>
      <c r="I4" s="574"/>
      <c r="J4" s="574"/>
      <c r="K4" s="574"/>
      <c r="L4" s="574"/>
      <c r="M4" s="574"/>
      <c r="N4" s="96"/>
      <c r="O4" s="96"/>
      <c r="P4" s="290"/>
      <c r="Q4" s="290"/>
      <c r="R4" s="290"/>
      <c r="S4" s="290"/>
      <c r="T4" s="290"/>
      <c r="U4" s="290"/>
      <c r="V4" s="290"/>
      <c r="W4" s="290"/>
      <c r="X4" s="290"/>
      <c r="Y4" s="290"/>
      <c r="Z4" s="290"/>
      <c r="AA4" s="290"/>
      <c r="AB4" s="290"/>
      <c r="AC4" s="290"/>
      <c r="AD4" s="290"/>
      <c r="AE4" s="290"/>
      <c r="AF4" s="290"/>
      <c r="AG4" s="290"/>
      <c r="AH4" s="290"/>
      <c r="AI4" s="290"/>
      <c r="AJ4" s="290"/>
      <c r="AK4" s="290"/>
    </row>
    <row r="5" spans="1:37" s="112" customFormat="1">
      <c r="A5" s="99"/>
      <c r="D5" s="387"/>
      <c r="E5" s="206"/>
      <c r="F5" s="387"/>
      <c r="G5" s="206"/>
      <c r="H5" s="388"/>
      <c r="K5" s="410"/>
      <c r="L5" s="410"/>
      <c r="M5" s="411"/>
      <c r="O5" s="388"/>
    </row>
    <row r="6" spans="1:37" s="112" customFormat="1">
      <c r="A6" s="174"/>
      <c r="C6" s="591" t="str">
        <f>Hauptübersicht!$E$16</f>
        <v>in 1'000 CHF</v>
      </c>
      <c r="D6" s="592"/>
      <c r="E6" s="592"/>
      <c r="F6" s="592"/>
      <c r="G6" s="592"/>
      <c r="H6" s="593"/>
      <c r="I6" s="597" t="s">
        <v>127</v>
      </c>
      <c r="J6" s="598"/>
      <c r="K6" s="598"/>
      <c r="L6" s="598"/>
      <c r="M6" s="599"/>
      <c r="N6" s="589" t="str">
        <f>Hauptübersicht!M14</f>
        <v>Januar</v>
      </c>
      <c r="O6" s="590"/>
      <c r="P6" s="589" t="str">
        <f>Hauptübersicht!N14</f>
        <v>Februar</v>
      </c>
      <c r="Q6" s="590"/>
      <c r="R6" s="589" t="str">
        <f>Hauptübersicht!O14</f>
        <v>März</v>
      </c>
      <c r="S6" s="590"/>
      <c r="T6" s="589" t="str">
        <f>Hauptübersicht!P14</f>
        <v>April</v>
      </c>
      <c r="U6" s="590"/>
      <c r="V6" s="589" t="str">
        <f>Hauptübersicht!Q14</f>
        <v>Mai</v>
      </c>
      <c r="W6" s="590"/>
      <c r="X6" s="589" t="str">
        <f>Hauptübersicht!R14</f>
        <v>Juni</v>
      </c>
      <c r="Y6" s="590"/>
      <c r="Z6" s="589" t="str">
        <f>Hauptübersicht!S14</f>
        <v xml:space="preserve">Juli </v>
      </c>
      <c r="AA6" s="590"/>
      <c r="AB6" s="589" t="str">
        <f>Hauptübersicht!T14</f>
        <v>August</v>
      </c>
      <c r="AC6" s="590"/>
      <c r="AD6" s="589" t="str">
        <f>Hauptübersicht!U14</f>
        <v>September</v>
      </c>
      <c r="AE6" s="590"/>
      <c r="AF6" s="589" t="str">
        <f>Hauptübersicht!V14</f>
        <v>Oktober</v>
      </c>
      <c r="AG6" s="590"/>
      <c r="AH6" s="589" t="str">
        <f>Hauptübersicht!W14</f>
        <v>November</v>
      </c>
      <c r="AI6" s="590"/>
      <c r="AJ6" s="589" t="str">
        <f>Hauptübersicht!X14</f>
        <v>Dezember</v>
      </c>
      <c r="AK6" s="600"/>
    </row>
    <row r="7" spans="1:37" s="112" customFormat="1" ht="12.75">
      <c r="A7" s="280"/>
      <c r="C7" s="594"/>
      <c r="D7" s="595"/>
      <c r="E7" s="595"/>
      <c r="F7" s="595"/>
      <c r="G7" s="595"/>
      <c r="H7" s="596"/>
      <c r="I7" s="26" t="s">
        <v>173</v>
      </c>
      <c r="J7" s="27" t="s">
        <v>172</v>
      </c>
      <c r="K7" s="28"/>
      <c r="L7" s="29" t="s">
        <v>128</v>
      </c>
      <c r="M7" s="30" t="s">
        <v>174</v>
      </c>
      <c r="N7" s="31" t="s">
        <v>129</v>
      </c>
      <c r="O7" s="32" t="s">
        <v>130</v>
      </c>
      <c r="P7" s="31" t="s">
        <v>129</v>
      </c>
      <c r="Q7" s="32" t="s">
        <v>130</v>
      </c>
      <c r="R7" s="31" t="s">
        <v>129</v>
      </c>
      <c r="S7" s="32" t="s">
        <v>130</v>
      </c>
      <c r="T7" s="31" t="s">
        <v>129</v>
      </c>
      <c r="U7" s="32" t="s">
        <v>130</v>
      </c>
      <c r="V7" s="31" t="s">
        <v>129</v>
      </c>
      <c r="W7" s="32" t="s">
        <v>130</v>
      </c>
      <c r="X7" s="31" t="s">
        <v>129</v>
      </c>
      <c r="Y7" s="32" t="s">
        <v>130</v>
      </c>
      <c r="Z7" s="31" t="s">
        <v>129</v>
      </c>
      <c r="AA7" s="32" t="s">
        <v>130</v>
      </c>
      <c r="AB7" s="31" t="s">
        <v>129</v>
      </c>
      <c r="AC7" s="32" t="s">
        <v>130</v>
      </c>
      <c r="AD7" s="31" t="s">
        <v>129</v>
      </c>
      <c r="AE7" s="32" t="s">
        <v>130</v>
      </c>
      <c r="AF7" s="31" t="s">
        <v>129</v>
      </c>
      <c r="AG7" s="32" t="s">
        <v>130</v>
      </c>
      <c r="AH7" s="31" t="s">
        <v>129</v>
      </c>
      <c r="AI7" s="32" t="s">
        <v>130</v>
      </c>
      <c r="AJ7" s="31" t="s">
        <v>129</v>
      </c>
      <c r="AK7" s="33" t="s">
        <v>130</v>
      </c>
    </row>
    <row r="8" spans="1:37" s="112" customFormat="1" ht="12.75">
      <c r="A8" s="280"/>
      <c r="C8" s="294"/>
      <c r="D8" s="560" t="s">
        <v>148</v>
      </c>
      <c r="E8" s="560"/>
      <c r="F8" s="560"/>
      <c r="G8" s="560"/>
      <c r="H8" s="561"/>
      <c r="I8" s="412">
        <f>'Output Planbilanz'!L8</f>
        <v>71.220000000000084</v>
      </c>
      <c r="J8" s="413">
        <f>N8</f>
        <v>71.220000000000084</v>
      </c>
      <c r="K8" s="43" t="str">
        <f t="shared" ref="K8:K38" si="0">IF(J8-I8&gt;1,"û",IF(J8-I8&lt;-1,"û","ü"))</f>
        <v>ü</v>
      </c>
      <c r="L8" s="414">
        <f>N8</f>
        <v>71.220000000000084</v>
      </c>
      <c r="M8" s="415">
        <f t="shared" ref="M8:M37" si="1">L8/IF(I8=0,1,I8)</f>
        <v>1</v>
      </c>
      <c r="N8" s="416">
        <f>I8</f>
        <v>71.220000000000084</v>
      </c>
      <c r="O8" s="417">
        <f>I8</f>
        <v>71.220000000000084</v>
      </c>
      <c r="P8" s="416">
        <f t="shared" ref="P8:AK8" si="2">IF(AND(SUM(P9:P12)=0,SUM(P15:P23)=0),0,+N36)</f>
        <v>0</v>
      </c>
      <c r="Q8" s="417">
        <f t="shared" si="2"/>
        <v>0</v>
      </c>
      <c r="R8" s="416">
        <f t="shared" si="2"/>
        <v>0</v>
      </c>
      <c r="S8" s="417">
        <f t="shared" si="2"/>
        <v>0</v>
      </c>
      <c r="T8" s="416">
        <f t="shared" si="2"/>
        <v>0</v>
      </c>
      <c r="U8" s="417">
        <f t="shared" si="2"/>
        <v>0</v>
      </c>
      <c r="V8" s="416">
        <f t="shared" si="2"/>
        <v>0</v>
      </c>
      <c r="W8" s="417">
        <f t="shared" si="2"/>
        <v>0</v>
      </c>
      <c r="X8" s="416">
        <f t="shared" si="2"/>
        <v>0</v>
      </c>
      <c r="Y8" s="417">
        <f t="shared" si="2"/>
        <v>0</v>
      </c>
      <c r="Z8" s="416">
        <f t="shared" si="2"/>
        <v>0</v>
      </c>
      <c r="AA8" s="417">
        <f t="shared" si="2"/>
        <v>0</v>
      </c>
      <c r="AB8" s="416">
        <f t="shared" si="2"/>
        <v>0</v>
      </c>
      <c r="AC8" s="417">
        <f t="shared" si="2"/>
        <v>0</v>
      </c>
      <c r="AD8" s="416">
        <f t="shared" si="2"/>
        <v>0</v>
      </c>
      <c r="AE8" s="417">
        <f t="shared" si="2"/>
        <v>0</v>
      </c>
      <c r="AF8" s="416">
        <f t="shared" si="2"/>
        <v>0</v>
      </c>
      <c r="AG8" s="417">
        <f t="shared" si="2"/>
        <v>0</v>
      </c>
      <c r="AH8" s="416">
        <f t="shared" si="2"/>
        <v>0</v>
      </c>
      <c r="AI8" s="417">
        <f t="shared" si="2"/>
        <v>0</v>
      </c>
      <c r="AJ8" s="416">
        <f t="shared" si="2"/>
        <v>0</v>
      </c>
      <c r="AK8" s="418">
        <f t="shared" si="2"/>
        <v>0</v>
      </c>
    </row>
    <row r="9" spans="1:37" s="112" customFormat="1" ht="12.75">
      <c r="A9" s="280"/>
      <c r="C9" s="34"/>
      <c r="D9" s="587" t="s">
        <v>150</v>
      </c>
      <c r="E9" s="587"/>
      <c r="F9" s="587"/>
      <c r="G9" s="587"/>
      <c r="H9" s="588"/>
      <c r="I9" s="35">
        <f>'Output Planerfolgsrechnung'!L8+'Output Mittelflussrechnung'!L13</f>
        <v>0</v>
      </c>
      <c r="J9" s="36">
        <f>N9+P9+R9+T9+V9+X9+Z9+AB9+AD9+AF9+AH9+AJ9</f>
        <v>0</v>
      </c>
      <c r="K9" s="37" t="str">
        <f t="shared" si="0"/>
        <v>ü</v>
      </c>
      <c r="L9" s="38">
        <f>O9+Q9+S9+U9+W9+Y9+AA9+AC9+AE9+AG9+AI9+AK9</f>
        <v>0</v>
      </c>
      <c r="M9" s="39">
        <f t="shared" si="1"/>
        <v>0</v>
      </c>
      <c r="N9" s="40"/>
      <c r="O9" s="41"/>
      <c r="P9" s="40"/>
      <c r="Q9" s="41"/>
      <c r="R9" s="40"/>
      <c r="S9" s="41"/>
      <c r="T9" s="40"/>
      <c r="U9" s="41"/>
      <c r="V9" s="40"/>
      <c r="W9" s="41"/>
      <c r="X9" s="40"/>
      <c r="Y9" s="41"/>
      <c r="Z9" s="40"/>
      <c r="AA9" s="41"/>
      <c r="AB9" s="40"/>
      <c r="AC9" s="41"/>
      <c r="AD9" s="40"/>
      <c r="AE9" s="41"/>
      <c r="AF9" s="40"/>
      <c r="AG9" s="41"/>
      <c r="AH9" s="40"/>
      <c r="AI9" s="41"/>
      <c r="AJ9" s="40"/>
      <c r="AK9" s="42"/>
    </row>
    <row r="10" spans="1:37" s="112" customFormat="1" ht="12.75">
      <c r="C10" s="12" t="s">
        <v>131</v>
      </c>
      <c r="D10" s="583" t="s">
        <v>175</v>
      </c>
      <c r="E10" s="583"/>
      <c r="F10" s="583"/>
      <c r="G10" s="583"/>
      <c r="H10" s="584"/>
      <c r="I10" s="18">
        <f>IF('Output Mittelflussrechnung'!L14&gt;0,'Output Mittelflussrechnung'!L14,0)+IF('Output Mittelflussrechnung'!L17&gt;0,'Output Mittelflussrechnung'!L17,0)</f>
        <v>0</v>
      </c>
      <c r="J10" s="19">
        <f>N10+P10+R10+T10+V10+X10+Z10+AB10+AD10+AF10+AH10+AJ10</f>
        <v>0</v>
      </c>
      <c r="K10" s="21" t="str">
        <f t="shared" si="0"/>
        <v>ü</v>
      </c>
      <c r="L10" s="24">
        <f>O10+Q10+S10+U10+W10+Y10+AA10+AC10+AE10+AG10+AI10+AK10</f>
        <v>0</v>
      </c>
      <c r="M10" s="25">
        <f t="shared" si="1"/>
        <v>0</v>
      </c>
      <c r="N10" s="14"/>
      <c r="O10" s="15"/>
      <c r="P10" s="14"/>
      <c r="Q10" s="15"/>
      <c r="R10" s="14"/>
      <c r="S10" s="15"/>
      <c r="T10" s="14"/>
      <c r="U10" s="15"/>
      <c r="V10" s="14"/>
      <c r="W10" s="15"/>
      <c r="X10" s="14"/>
      <c r="Y10" s="15"/>
      <c r="Z10" s="14"/>
      <c r="AA10" s="15"/>
      <c r="AB10" s="14"/>
      <c r="AC10" s="15"/>
      <c r="AD10" s="14"/>
      <c r="AE10" s="15"/>
      <c r="AF10" s="14"/>
      <c r="AG10" s="15"/>
      <c r="AH10" s="14"/>
      <c r="AI10" s="15"/>
      <c r="AJ10" s="14"/>
      <c r="AK10" s="16"/>
    </row>
    <row r="11" spans="1:37" s="112" customFormat="1" ht="12.75">
      <c r="C11" s="12" t="s">
        <v>131</v>
      </c>
      <c r="D11" s="585"/>
      <c r="E11" s="585"/>
      <c r="F11" s="585"/>
      <c r="G11" s="585"/>
      <c r="H11" s="586"/>
      <c r="I11" s="18"/>
      <c r="J11" s="19">
        <f>N11+P11+R11+T11+V11+X11+Z11+AB11+AD11+AF11+AH11+AJ11</f>
        <v>0</v>
      </c>
      <c r="K11" s="21" t="str">
        <f t="shared" si="0"/>
        <v>ü</v>
      </c>
      <c r="L11" s="24">
        <f>O11+Q11+S11+U11+W11+Y11+AA11+AC11+AE11+AG11+AI11+AK11</f>
        <v>0</v>
      </c>
      <c r="M11" s="25">
        <f t="shared" si="1"/>
        <v>0</v>
      </c>
      <c r="N11" s="14"/>
      <c r="O11" s="15"/>
      <c r="P11" s="14"/>
      <c r="Q11" s="15"/>
      <c r="R11" s="14"/>
      <c r="S11" s="15"/>
      <c r="T11" s="14"/>
      <c r="U11" s="15"/>
      <c r="V11" s="14"/>
      <c r="W11" s="15"/>
      <c r="X11" s="14"/>
      <c r="Y11" s="15"/>
      <c r="Z11" s="14"/>
      <c r="AA11" s="15"/>
      <c r="AB11" s="14"/>
      <c r="AC11" s="15"/>
      <c r="AD11" s="14"/>
      <c r="AE11" s="15"/>
      <c r="AF11" s="14"/>
      <c r="AG11" s="15"/>
      <c r="AH11" s="14"/>
      <c r="AI11" s="15"/>
      <c r="AJ11" s="14"/>
      <c r="AK11" s="16"/>
    </row>
    <row r="12" spans="1:37" s="112" customFormat="1" ht="12.75">
      <c r="C12" s="44" t="s">
        <v>131</v>
      </c>
      <c r="D12" s="577"/>
      <c r="E12" s="577"/>
      <c r="F12" s="577"/>
      <c r="G12" s="577"/>
      <c r="H12" s="578"/>
      <c r="I12" s="45"/>
      <c r="J12" s="46">
        <f>N12+P12+R12+T12+V12+X12+Z12+AB12+AD12+AF12+AH12+AJ12</f>
        <v>0</v>
      </c>
      <c r="K12" s="47" t="str">
        <f t="shared" si="0"/>
        <v>ü</v>
      </c>
      <c r="L12" s="48">
        <f>O12+Q12+S12+U12+W12+Y12+AA12+AC12+AE12+AG12+AI12+AK12</f>
        <v>0</v>
      </c>
      <c r="M12" s="49">
        <f t="shared" si="1"/>
        <v>0</v>
      </c>
      <c r="N12" s="50"/>
      <c r="O12" s="51"/>
      <c r="P12" s="50"/>
      <c r="Q12" s="51"/>
      <c r="R12" s="50"/>
      <c r="S12" s="51"/>
      <c r="T12" s="50"/>
      <c r="U12" s="51"/>
      <c r="V12" s="50"/>
      <c r="W12" s="51"/>
      <c r="X12" s="50"/>
      <c r="Y12" s="51"/>
      <c r="Z12" s="50"/>
      <c r="AA12" s="51"/>
      <c r="AB12" s="50"/>
      <c r="AC12" s="51"/>
      <c r="AD12" s="50"/>
      <c r="AE12" s="51"/>
      <c r="AF12" s="50"/>
      <c r="AG12" s="51"/>
      <c r="AH12" s="50"/>
      <c r="AI12" s="51"/>
      <c r="AJ12" s="50"/>
      <c r="AK12" s="52"/>
    </row>
    <row r="13" spans="1:37" s="112" customFormat="1" ht="12.75">
      <c r="C13" s="419" t="s">
        <v>131</v>
      </c>
      <c r="D13" s="581" t="s">
        <v>133</v>
      </c>
      <c r="E13" s="581"/>
      <c r="F13" s="581"/>
      <c r="G13" s="581"/>
      <c r="H13" s="582"/>
      <c r="I13" s="421">
        <f>SUM(I9:I12)</f>
        <v>0</v>
      </c>
      <c r="J13" s="422">
        <f>SUM(J9:J12)</f>
        <v>0</v>
      </c>
      <c r="K13" s="59" t="str">
        <f t="shared" si="0"/>
        <v>ü</v>
      </c>
      <c r="L13" s="423">
        <f>SUM(L9:L12)</f>
        <v>0</v>
      </c>
      <c r="M13" s="424">
        <f t="shared" si="1"/>
        <v>0</v>
      </c>
      <c r="N13" s="425">
        <f t="shared" ref="N13:AK13" si="3">SUM(N9:N12)</f>
        <v>0</v>
      </c>
      <c r="O13" s="426">
        <f t="shared" si="3"/>
        <v>0</v>
      </c>
      <c r="P13" s="425">
        <f t="shared" si="3"/>
        <v>0</v>
      </c>
      <c r="Q13" s="426">
        <f t="shared" si="3"/>
        <v>0</v>
      </c>
      <c r="R13" s="425">
        <f t="shared" si="3"/>
        <v>0</v>
      </c>
      <c r="S13" s="426">
        <f t="shared" si="3"/>
        <v>0</v>
      </c>
      <c r="T13" s="425">
        <f t="shared" si="3"/>
        <v>0</v>
      </c>
      <c r="U13" s="426">
        <f t="shared" si="3"/>
        <v>0</v>
      </c>
      <c r="V13" s="425">
        <f t="shared" si="3"/>
        <v>0</v>
      </c>
      <c r="W13" s="426">
        <f t="shared" si="3"/>
        <v>0</v>
      </c>
      <c r="X13" s="425">
        <f t="shared" si="3"/>
        <v>0</v>
      </c>
      <c r="Y13" s="426">
        <f t="shared" si="3"/>
        <v>0</v>
      </c>
      <c r="Z13" s="425">
        <f t="shared" si="3"/>
        <v>0</v>
      </c>
      <c r="AA13" s="426">
        <f t="shared" si="3"/>
        <v>0</v>
      </c>
      <c r="AB13" s="425">
        <f t="shared" si="3"/>
        <v>0</v>
      </c>
      <c r="AC13" s="426">
        <f t="shared" si="3"/>
        <v>0</v>
      </c>
      <c r="AD13" s="425">
        <f t="shared" si="3"/>
        <v>0</v>
      </c>
      <c r="AE13" s="426">
        <f t="shared" si="3"/>
        <v>0</v>
      </c>
      <c r="AF13" s="425">
        <f t="shared" si="3"/>
        <v>0</v>
      </c>
      <c r="AG13" s="426">
        <f t="shared" si="3"/>
        <v>0</v>
      </c>
      <c r="AH13" s="425">
        <f t="shared" si="3"/>
        <v>0</v>
      </c>
      <c r="AI13" s="426">
        <f t="shared" si="3"/>
        <v>0</v>
      </c>
      <c r="AJ13" s="425">
        <f t="shared" si="3"/>
        <v>0</v>
      </c>
      <c r="AK13" s="427">
        <f t="shared" si="3"/>
        <v>0</v>
      </c>
    </row>
    <row r="14" spans="1:37" s="112" customFormat="1" ht="12.75">
      <c r="C14" s="428" t="s">
        <v>132</v>
      </c>
      <c r="D14" s="560" t="s">
        <v>134</v>
      </c>
      <c r="E14" s="560"/>
      <c r="F14" s="560"/>
      <c r="G14" s="560"/>
      <c r="H14" s="561"/>
      <c r="I14" s="412">
        <f>+I8+I13</f>
        <v>71.220000000000084</v>
      </c>
      <c r="J14" s="413">
        <f>+J8+J13</f>
        <v>71.220000000000084</v>
      </c>
      <c r="K14" s="43" t="str">
        <f t="shared" si="0"/>
        <v>ü</v>
      </c>
      <c r="L14" s="414">
        <f>+L8+L13</f>
        <v>71.220000000000084</v>
      </c>
      <c r="M14" s="415">
        <f t="shared" si="1"/>
        <v>1</v>
      </c>
      <c r="N14" s="412">
        <f t="shared" ref="N14:AK14" si="4">+N8+N13</f>
        <v>71.220000000000084</v>
      </c>
      <c r="O14" s="429">
        <f t="shared" si="4"/>
        <v>71.220000000000084</v>
      </c>
      <c r="P14" s="412">
        <f t="shared" si="4"/>
        <v>0</v>
      </c>
      <c r="Q14" s="429">
        <f t="shared" si="4"/>
        <v>0</v>
      </c>
      <c r="R14" s="412">
        <f t="shared" si="4"/>
        <v>0</v>
      </c>
      <c r="S14" s="429">
        <f t="shared" si="4"/>
        <v>0</v>
      </c>
      <c r="T14" s="412">
        <f t="shared" si="4"/>
        <v>0</v>
      </c>
      <c r="U14" s="429">
        <f t="shared" si="4"/>
        <v>0</v>
      </c>
      <c r="V14" s="412">
        <f t="shared" si="4"/>
        <v>0</v>
      </c>
      <c r="W14" s="429">
        <f t="shared" si="4"/>
        <v>0</v>
      </c>
      <c r="X14" s="412">
        <f t="shared" si="4"/>
        <v>0</v>
      </c>
      <c r="Y14" s="429">
        <f t="shared" si="4"/>
        <v>0</v>
      </c>
      <c r="Z14" s="412">
        <f t="shared" si="4"/>
        <v>0</v>
      </c>
      <c r="AA14" s="429">
        <f t="shared" si="4"/>
        <v>0</v>
      </c>
      <c r="AB14" s="412">
        <f t="shared" si="4"/>
        <v>0</v>
      </c>
      <c r="AC14" s="429">
        <f t="shared" si="4"/>
        <v>0</v>
      </c>
      <c r="AD14" s="412">
        <f t="shared" si="4"/>
        <v>0</v>
      </c>
      <c r="AE14" s="429">
        <f t="shared" si="4"/>
        <v>0</v>
      </c>
      <c r="AF14" s="412">
        <f t="shared" si="4"/>
        <v>0</v>
      </c>
      <c r="AG14" s="429">
        <f t="shared" si="4"/>
        <v>0</v>
      </c>
      <c r="AH14" s="412">
        <f t="shared" si="4"/>
        <v>0</v>
      </c>
      <c r="AI14" s="430">
        <f t="shared" si="4"/>
        <v>0</v>
      </c>
      <c r="AJ14" s="412">
        <f t="shared" si="4"/>
        <v>0</v>
      </c>
      <c r="AK14" s="431">
        <f t="shared" si="4"/>
        <v>0</v>
      </c>
    </row>
    <row r="15" spans="1:37" s="112" customFormat="1" ht="12.75">
      <c r="C15" s="44" t="s">
        <v>135</v>
      </c>
      <c r="D15" s="570" t="s">
        <v>136</v>
      </c>
      <c r="E15" s="570"/>
      <c r="F15" s="570"/>
      <c r="G15" s="570"/>
      <c r="H15" s="571"/>
      <c r="I15" s="53">
        <f>'Output Planerfolgsrechnung'!L9-'Output Mittelflussrechnung'!L16-'Output Mittelflussrechnung'!L15</f>
        <v>0</v>
      </c>
      <c r="J15" s="20">
        <f t="shared" ref="J15:J23" si="5">N15+P15+R15+T15+V15+X15+Z15+AB15+AD15+AF15+AH15+AJ15</f>
        <v>0</v>
      </c>
      <c r="K15" s="23" t="str">
        <f t="shared" si="0"/>
        <v>ü</v>
      </c>
      <c r="L15" s="54">
        <f t="shared" ref="L15:L23" si="6">O15+Q15+S15+U15+W15+Y15+AA15+AC15+AE15+AG15+AI15+AK15</f>
        <v>0</v>
      </c>
      <c r="M15" s="55">
        <f t="shared" si="1"/>
        <v>0</v>
      </c>
      <c r="N15" s="56"/>
      <c r="O15" s="57"/>
      <c r="P15" s="56"/>
      <c r="Q15" s="57"/>
      <c r="R15" s="56"/>
      <c r="S15" s="57"/>
      <c r="T15" s="56"/>
      <c r="U15" s="57"/>
      <c r="V15" s="56"/>
      <c r="W15" s="57"/>
      <c r="X15" s="56"/>
      <c r="Y15" s="57"/>
      <c r="Z15" s="56"/>
      <c r="AA15" s="57"/>
      <c r="AB15" s="56"/>
      <c r="AC15" s="57"/>
      <c r="AD15" s="56"/>
      <c r="AE15" s="57"/>
      <c r="AF15" s="56"/>
      <c r="AG15" s="57"/>
      <c r="AH15" s="56"/>
      <c r="AI15" s="58"/>
      <c r="AJ15" s="56"/>
      <c r="AK15" s="57"/>
    </row>
    <row r="16" spans="1:37" s="112" customFormat="1" ht="12.75">
      <c r="C16" s="13" t="s">
        <v>135</v>
      </c>
      <c r="D16" s="566" t="s">
        <v>57</v>
      </c>
      <c r="E16" s="566"/>
      <c r="F16" s="566"/>
      <c r="G16" s="566"/>
      <c r="H16" s="567"/>
      <c r="I16" s="18">
        <f>'Output Planerfolgsrechnung'!L11</f>
        <v>0</v>
      </c>
      <c r="J16" s="19">
        <f t="shared" si="5"/>
        <v>0</v>
      </c>
      <c r="K16" s="21" t="str">
        <f t="shared" si="0"/>
        <v>ü</v>
      </c>
      <c r="L16" s="24">
        <f t="shared" si="6"/>
        <v>0</v>
      </c>
      <c r="M16" s="25">
        <f t="shared" si="1"/>
        <v>0</v>
      </c>
      <c r="N16" s="14"/>
      <c r="O16" s="16"/>
      <c r="P16" s="14"/>
      <c r="Q16" s="16"/>
      <c r="R16" s="14"/>
      <c r="S16" s="16"/>
      <c r="T16" s="14"/>
      <c r="U16" s="16"/>
      <c r="V16" s="14"/>
      <c r="W16" s="16"/>
      <c r="X16" s="14"/>
      <c r="Y16" s="16"/>
      <c r="Z16" s="14"/>
      <c r="AA16" s="16"/>
      <c r="AB16" s="14"/>
      <c r="AC16" s="16"/>
      <c r="AD16" s="14"/>
      <c r="AE16" s="16"/>
      <c r="AF16" s="14"/>
      <c r="AG16" s="16"/>
      <c r="AH16" s="14"/>
      <c r="AI16" s="17"/>
      <c r="AJ16" s="14"/>
      <c r="AK16" s="16"/>
    </row>
    <row r="17" spans="3:37" s="112" customFormat="1" ht="12.75">
      <c r="C17" s="13" t="s">
        <v>135</v>
      </c>
      <c r="D17" s="566" t="s">
        <v>182</v>
      </c>
      <c r="E17" s="566"/>
      <c r="F17" s="566"/>
      <c r="G17" s="566"/>
      <c r="H17" s="567"/>
      <c r="I17" s="18">
        <f>'Output Planerfolgsrechnung'!L12</f>
        <v>0</v>
      </c>
      <c r="J17" s="19">
        <f t="shared" si="5"/>
        <v>0</v>
      </c>
      <c r="K17" s="21" t="str">
        <f t="shared" si="0"/>
        <v>ü</v>
      </c>
      <c r="L17" s="24">
        <f t="shared" si="6"/>
        <v>0</v>
      </c>
      <c r="M17" s="25">
        <f t="shared" si="1"/>
        <v>0</v>
      </c>
      <c r="N17" s="14"/>
      <c r="O17" s="16"/>
      <c r="P17" s="14"/>
      <c r="Q17" s="16"/>
      <c r="R17" s="14"/>
      <c r="S17" s="16"/>
      <c r="T17" s="14"/>
      <c r="U17" s="16"/>
      <c r="V17" s="14"/>
      <c r="W17" s="16"/>
      <c r="X17" s="14"/>
      <c r="Y17" s="16"/>
      <c r="Z17" s="14"/>
      <c r="AA17" s="16"/>
      <c r="AB17" s="14"/>
      <c r="AC17" s="16"/>
      <c r="AD17" s="14"/>
      <c r="AE17" s="16"/>
      <c r="AF17" s="14"/>
      <c r="AG17" s="16"/>
      <c r="AH17" s="14"/>
      <c r="AI17" s="17"/>
      <c r="AJ17" s="14"/>
      <c r="AK17" s="16"/>
    </row>
    <row r="18" spans="3:37" s="112" customFormat="1" ht="12.75">
      <c r="C18" s="13" t="s">
        <v>135</v>
      </c>
      <c r="D18" s="566" t="str">
        <f>IF('Input Geschäftsgang'!J8=1,'Input Geschäftsgang'!C23,'Input Geschäftsgang'!C24)</f>
        <v>Werbeaufwand</v>
      </c>
      <c r="E18" s="566"/>
      <c r="F18" s="566"/>
      <c r="G18" s="566"/>
      <c r="H18" s="567"/>
      <c r="I18" s="18">
        <f>'Output Planerfolgsrechnung'!L13</f>
        <v>0</v>
      </c>
      <c r="J18" s="19">
        <f t="shared" si="5"/>
        <v>0</v>
      </c>
      <c r="K18" s="21" t="str">
        <f t="shared" si="0"/>
        <v>ü</v>
      </c>
      <c r="L18" s="24">
        <f t="shared" si="6"/>
        <v>0</v>
      </c>
      <c r="M18" s="25">
        <f t="shared" si="1"/>
        <v>0</v>
      </c>
      <c r="N18" s="14"/>
      <c r="O18" s="16"/>
      <c r="P18" s="14"/>
      <c r="Q18" s="16"/>
      <c r="R18" s="14"/>
      <c r="S18" s="16"/>
      <c r="T18" s="14"/>
      <c r="U18" s="16"/>
      <c r="V18" s="14"/>
      <c r="W18" s="16"/>
      <c r="X18" s="14"/>
      <c r="Y18" s="16"/>
      <c r="Z18" s="14"/>
      <c r="AA18" s="16"/>
      <c r="AB18" s="14"/>
      <c r="AC18" s="16"/>
      <c r="AD18" s="14"/>
      <c r="AE18" s="16"/>
      <c r="AF18" s="14"/>
      <c r="AG18" s="16"/>
      <c r="AH18" s="14"/>
      <c r="AI18" s="17"/>
      <c r="AJ18" s="14"/>
      <c r="AK18" s="16"/>
    </row>
    <row r="19" spans="3:37" s="112" customFormat="1" ht="12.75">
      <c r="C19" s="13" t="s">
        <v>135</v>
      </c>
      <c r="D19" s="566" t="s">
        <v>149</v>
      </c>
      <c r="E19" s="566"/>
      <c r="F19" s="566"/>
      <c r="G19" s="566"/>
      <c r="H19" s="567"/>
      <c r="I19" s="18">
        <f>-(IF('Output Mittelflussrechnung'!L14&lt;0,'Output Mittelflussrechnung'!L14,0)+IF('Output Mittelflussrechnung'!L17&lt;0,'Output Mittelflussrechnung'!L17,0))+'Output Planerfolgsrechnung'!L14</f>
        <v>0</v>
      </c>
      <c r="J19" s="19">
        <f t="shared" si="5"/>
        <v>0</v>
      </c>
      <c r="K19" s="21" t="str">
        <f t="shared" si="0"/>
        <v>ü</v>
      </c>
      <c r="L19" s="24">
        <f t="shared" si="6"/>
        <v>0</v>
      </c>
      <c r="M19" s="25">
        <f t="shared" si="1"/>
        <v>0</v>
      </c>
      <c r="N19" s="14"/>
      <c r="O19" s="16"/>
      <c r="P19" s="14"/>
      <c r="Q19" s="16"/>
      <c r="R19" s="14"/>
      <c r="S19" s="16"/>
      <c r="T19" s="14"/>
      <c r="U19" s="16"/>
      <c r="V19" s="14"/>
      <c r="W19" s="16"/>
      <c r="X19" s="14"/>
      <c r="Y19" s="16"/>
      <c r="Z19" s="14"/>
      <c r="AA19" s="16"/>
      <c r="AB19" s="14"/>
      <c r="AC19" s="16"/>
      <c r="AD19" s="14"/>
      <c r="AE19" s="16"/>
      <c r="AF19" s="14"/>
      <c r="AG19" s="16"/>
      <c r="AH19" s="14"/>
      <c r="AI19" s="17"/>
      <c r="AJ19" s="14"/>
      <c r="AK19" s="16"/>
    </row>
    <row r="20" spans="3:37" s="112" customFormat="1" ht="12.75">
      <c r="C20" s="13" t="s">
        <v>135</v>
      </c>
      <c r="D20" s="566" t="s">
        <v>137</v>
      </c>
      <c r="E20" s="566"/>
      <c r="F20" s="566"/>
      <c r="G20" s="566"/>
      <c r="H20" s="567"/>
      <c r="I20" s="18">
        <f>'Output Planerfolgsrechnung'!L20</f>
        <v>0</v>
      </c>
      <c r="J20" s="19">
        <f t="shared" si="5"/>
        <v>0</v>
      </c>
      <c r="K20" s="21" t="str">
        <f t="shared" si="0"/>
        <v>ü</v>
      </c>
      <c r="L20" s="24">
        <f t="shared" si="6"/>
        <v>0</v>
      </c>
      <c r="M20" s="25">
        <f t="shared" si="1"/>
        <v>0</v>
      </c>
      <c r="N20" s="14"/>
      <c r="O20" s="16"/>
      <c r="P20" s="14"/>
      <c r="Q20" s="16"/>
      <c r="R20" s="14"/>
      <c r="S20" s="16"/>
      <c r="T20" s="14"/>
      <c r="U20" s="16"/>
      <c r="V20" s="14"/>
      <c r="W20" s="16"/>
      <c r="X20" s="14"/>
      <c r="Y20" s="16"/>
      <c r="Z20" s="14"/>
      <c r="AA20" s="16"/>
      <c r="AB20" s="14"/>
      <c r="AC20" s="16"/>
      <c r="AD20" s="14"/>
      <c r="AE20" s="16"/>
      <c r="AF20" s="14"/>
      <c r="AG20" s="16"/>
      <c r="AH20" s="14"/>
      <c r="AI20" s="17"/>
      <c r="AJ20" s="14"/>
      <c r="AK20" s="16"/>
    </row>
    <row r="21" spans="3:37" s="112" customFormat="1" ht="12.75">
      <c r="C21" s="13" t="s">
        <v>135</v>
      </c>
      <c r="D21" s="566" t="s">
        <v>138</v>
      </c>
      <c r="E21" s="566"/>
      <c r="F21" s="566"/>
      <c r="G21" s="566"/>
      <c r="H21" s="567"/>
      <c r="I21" s="18">
        <f>'Output Planerfolgsrechnung'!L25</f>
        <v>0</v>
      </c>
      <c r="J21" s="19">
        <f t="shared" si="5"/>
        <v>0</v>
      </c>
      <c r="K21" s="21" t="str">
        <f t="shared" si="0"/>
        <v>ü</v>
      </c>
      <c r="L21" s="24">
        <f t="shared" si="6"/>
        <v>0</v>
      </c>
      <c r="M21" s="25">
        <f t="shared" si="1"/>
        <v>0</v>
      </c>
      <c r="N21" s="14"/>
      <c r="O21" s="16"/>
      <c r="P21" s="14"/>
      <c r="Q21" s="16"/>
      <c r="R21" s="14"/>
      <c r="S21" s="16"/>
      <c r="T21" s="14"/>
      <c r="U21" s="16"/>
      <c r="V21" s="14"/>
      <c r="W21" s="16"/>
      <c r="X21" s="14"/>
      <c r="Y21" s="16"/>
      <c r="Z21" s="14"/>
      <c r="AA21" s="16"/>
      <c r="AB21" s="14"/>
      <c r="AC21" s="16"/>
      <c r="AD21" s="14"/>
      <c r="AE21" s="16"/>
      <c r="AF21" s="14"/>
      <c r="AG21" s="16"/>
      <c r="AH21" s="14"/>
      <c r="AI21" s="17"/>
      <c r="AJ21" s="14"/>
      <c r="AK21" s="16"/>
    </row>
    <row r="22" spans="3:37" s="112" customFormat="1" ht="12.75">
      <c r="C22" s="13" t="s">
        <v>135</v>
      </c>
      <c r="D22" s="572"/>
      <c r="E22" s="572"/>
      <c r="F22" s="572"/>
      <c r="G22" s="572"/>
      <c r="H22" s="573"/>
      <c r="I22" s="18"/>
      <c r="J22" s="19">
        <f t="shared" si="5"/>
        <v>0</v>
      </c>
      <c r="K22" s="21" t="str">
        <f t="shared" si="0"/>
        <v>ü</v>
      </c>
      <c r="L22" s="24">
        <f t="shared" si="6"/>
        <v>0</v>
      </c>
      <c r="M22" s="25">
        <f t="shared" si="1"/>
        <v>0</v>
      </c>
      <c r="N22" s="14"/>
      <c r="O22" s="16"/>
      <c r="P22" s="14"/>
      <c r="Q22" s="16"/>
      <c r="R22" s="14"/>
      <c r="S22" s="16"/>
      <c r="T22" s="14"/>
      <c r="U22" s="16"/>
      <c r="V22" s="14"/>
      <c r="W22" s="16"/>
      <c r="X22" s="14"/>
      <c r="Y22" s="16"/>
      <c r="Z22" s="14"/>
      <c r="AA22" s="16"/>
      <c r="AB22" s="14"/>
      <c r="AC22" s="16"/>
      <c r="AD22" s="14"/>
      <c r="AE22" s="16"/>
      <c r="AF22" s="14"/>
      <c r="AG22" s="16"/>
      <c r="AH22" s="14"/>
      <c r="AI22" s="17"/>
      <c r="AJ22" s="14"/>
      <c r="AK22" s="16"/>
    </row>
    <row r="23" spans="3:37" s="112" customFormat="1" ht="12.75">
      <c r="C23" s="62" t="s">
        <v>135</v>
      </c>
      <c r="D23" s="575"/>
      <c r="E23" s="575"/>
      <c r="F23" s="575"/>
      <c r="G23" s="575"/>
      <c r="H23" s="576"/>
      <c r="I23" s="63"/>
      <c r="J23" s="64">
        <f t="shared" si="5"/>
        <v>0</v>
      </c>
      <c r="K23" s="65" t="str">
        <f t="shared" si="0"/>
        <v>ü</v>
      </c>
      <c r="L23" s="66">
        <f t="shared" si="6"/>
        <v>0</v>
      </c>
      <c r="M23" s="67">
        <f t="shared" si="1"/>
        <v>0</v>
      </c>
      <c r="N23" s="56"/>
      <c r="O23" s="57"/>
      <c r="P23" s="56"/>
      <c r="Q23" s="57"/>
      <c r="R23" s="56"/>
      <c r="S23" s="57"/>
      <c r="T23" s="56"/>
      <c r="U23" s="57"/>
      <c r="V23" s="56"/>
      <c r="W23" s="57"/>
      <c r="X23" s="56"/>
      <c r="Y23" s="57"/>
      <c r="Z23" s="56"/>
      <c r="AA23" s="57"/>
      <c r="AB23" s="56"/>
      <c r="AC23" s="57"/>
      <c r="AD23" s="56"/>
      <c r="AE23" s="57"/>
      <c r="AF23" s="56"/>
      <c r="AG23" s="57"/>
      <c r="AH23" s="56"/>
      <c r="AI23" s="58"/>
      <c r="AJ23" s="56"/>
      <c r="AK23" s="57"/>
    </row>
    <row r="24" spans="3:37" s="112" customFormat="1" ht="12.75">
      <c r="C24" s="419" t="s">
        <v>132</v>
      </c>
      <c r="D24" s="420" t="s">
        <v>139</v>
      </c>
      <c r="E24" s="420"/>
      <c r="F24" s="420"/>
      <c r="G24" s="420"/>
      <c r="H24" s="420"/>
      <c r="I24" s="421">
        <f>SUM(I15:I23)</f>
        <v>0</v>
      </c>
      <c r="J24" s="422">
        <f>SUM(J15:J23)</f>
        <v>0</v>
      </c>
      <c r="K24" s="59" t="str">
        <f t="shared" si="0"/>
        <v>ü</v>
      </c>
      <c r="L24" s="423">
        <f>SUM(L15:L23)</f>
        <v>0</v>
      </c>
      <c r="M24" s="424">
        <f t="shared" si="1"/>
        <v>0</v>
      </c>
      <c r="N24" s="425">
        <f t="shared" ref="N24:AK24" si="7">SUM(N15:N23)</f>
        <v>0</v>
      </c>
      <c r="O24" s="427">
        <f t="shared" si="7"/>
        <v>0</v>
      </c>
      <c r="P24" s="425">
        <f t="shared" si="7"/>
        <v>0</v>
      </c>
      <c r="Q24" s="427">
        <f t="shared" si="7"/>
        <v>0</v>
      </c>
      <c r="R24" s="425">
        <f t="shared" si="7"/>
        <v>0</v>
      </c>
      <c r="S24" s="427">
        <f t="shared" si="7"/>
        <v>0</v>
      </c>
      <c r="T24" s="425">
        <f t="shared" si="7"/>
        <v>0</v>
      </c>
      <c r="U24" s="427">
        <f t="shared" si="7"/>
        <v>0</v>
      </c>
      <c r="V24" s="425">
        <f t="shared" si="7"/>
        <v>0</v>
      </c>
      <c r="W24" s="427">
        <f t="shared" si="7"/>
        <v>0</v>
      </c>
      <c r="X24" s="425">
        <f t="shared" si="7"/>
        <v>0</v>
      </c>
      <c r="Y24" s="427">
        <f t="shared" si="7"/>
        <v>0</v>
      </c>
      <c r="Z24" s="425">
        <f t="shared" si="7"/>
        <v>0</v>
      </c>
      <c r="AA24" s="427">
        <f t="shared" si="7"/>
        <v>0</v>
      </c>
      <c r="AB24" s="425">
        <f t="shared" si="7"/>
        <v>0</v>
      </c>
      <c r="AC24" s="427">
        <f t="shared" si="7"/>
        <v>0</v>
      </c>
      <c r="AD24" s="425">
        <f t="shared" si="7"/>
        <v>0</v>
      </c>
      <c r="AE24" s="427">
        <f t="shared" si="7"/>
        <v>0</v>
      </c>
      <c r="AF24" s="425">
        <f t="shared" si="7"/>
        <v>0</v>
      </c>
      <c r="AG24" s="427">
        <f t="shared" si="7"/>
        <v>0</v>
      </c>
      <c r="AH24" s="432">
        <f t="shared" si="7"/>
        <v>0</v>
      </c>
      <c r="AI24" s="433">
        <f t="shared" si="7"/>
        <v>0</v>
      </c>
      <c r="AJ24" s="425">
        <f t="shared" si="7"/>
        <v>0</v>
      </c>
      <c r="AK24" s="427">
        <f t="shared" si="7"/>
        <v>0</v>
      </c>
    </row>
    <row r="25" spans="3:37" s="112" customFormat="1" ht="12.75">
      <c r="C25" s="434" t="s">
        <v>132</v>
      </c>
      <c r="D25" s="568" t="s">
        <v>140</v>
      </c>
      <c r="E25" s="568"/>
      <c r="F25" s="568"/>
      <c r="G25" s="568"/>
      <c r="H25" s="569"/>
      <c r="I25" s="421">
        <f>I13-I24</f>
        <v>0</v>
      </c>
      <c r="J25" s="422">
        <f>J13-J24</f>
        <v>0</v>
      </c>
      <c r="K25" s="59" t="str">
        <f t="shared" si="0"/>
        <v>ü</v>
      </c>
      <c r="L25" s="423">
        <f>L13-L24</f>
        <v>0</v>
      </c>
      <c r="M25" s="424">
        <f t="shared" si="1"/>
        <v>0</v>
      </c>
      <c r="N25" s="435">
        <f t="shared" ref="N25:AK25" si="8">N13-N24</f>
        <v>0</v>
      </c>
      <c r="O25" s="436">
        <f t="shared" si="8"/>
        <v>0</v>
      </c>
      <c r="P25" s="435">
        <f t="shared" si="8"/>
        <v>0</v>
      </c>
      <c r="Q25" s="436">
        <f t="shared" si="8"/>
        <v>0</v>
      </c>
      <c r="R25" s="435">
        <f t="shared" si="8"/>
        <v>0</v>
      </c>
      <c r="S25" s="436">
        <f t="shared" si="8"/>
        <v>0</v>
      </c>
      <c r="T25" s="435">
        <f t="shared" si="8"/>
        <v>0</v>
      </c>
      <c r="U25" s="436">
        <f t="shared" si="8"/>
        <v>0</v>
      </c>
      <c r="V25" s="435">
        <f t="shared" si="8"/>
        <v>0</v>
      </c>
      <c r="W25" s="436">
        <f t="shared" si="8"/>
        <v>0</v>
      </c>
      <c r="X25" s="435">
        <f t="shared" si="8"/>
        <v>0</v>
      </c>
      <c r="Y25" s="436">
        <f t="shared" si="8"/>
        <v>0</v>
      </c>
      <c r="Z25" s="435">
        <f t="shared" si="8"/>
        <v>0</v>
      </c>
      <c r="AA25" s="436">
        <f t="shared" si="8"/>
        <v>0</v>
      </c>
      <c r="AB25" s="435">
        <f t="shared" si="8"/>
        <v>0</v>
      </c>
      <c r="AC25" s="436">
        <f t="shared" si="8"/>
        <v>0</v>
      </c>
      <c r="AD25" s="435">
        <f t="shared" si="8"/>
        <v>0</v>
      </c>
      <c r="AE25" s="436">
        <f t="shared" si="8"/>
        <v>0</v>
      </c>
      <c r="AF25" s="435">
        <f t="shared" si="8"/>
        <v>0</v>
      </c>
      <c r="AG25" s="436">
        <f t="shared" si="8"/>
        <v>0</v>
      </c>
      <c r="AH25" s="435">
        <f t="shared" si="8"/>
        <v>0</v>
      </c>
      <c r="AI25" s="437">
        <f t="shared" si="8"/>
        <v>0</v>
      </c>
      <c r="AJ25" s="435">
        <f t="shared" si="8"/>
        <v>0</v>
      </c>
      <c r="AK25" s="436">
        <f t="shared" si="8"/>
        <v>0</v>
      </c>
    </row>
    <row r="26" spans="3:37" s="112" customFormat="1" ht="12.75">
      <c r="C26" s="428"/>
      <c r="D26" s="560" t="s">
        <v>141</v>
      </c>
      <c r="E26" s="560"/>
      <c r="F26" s="560"/>
      <c r="G26" s="560"/>
      <c r="H26" s="561"/>
      <c r="I26" s="438">
        <f>+I14-I24</f>
        <v>71.220000000000084</v>
      </c>
      <c r="J26" s="413">
        <f>+J14-J24</f>
        <v>71.220000000000084</v>
      </c>
      <c r="K26" s="43" t="str">
        <f t="shared" si="0"/>
        <v>ü</v>
      </c>
      <c r="L26" s="414">
        <f>+L14-L24</f>
        <v>71.220000000000084</v>
      </c>
      <c r="M26" s="415">
        <f t="shared" si="1"/>
        <v>1</v>
      </c>
      <c r="N26" s="412">
        <f t="shared" ref="N26:AK26" si="9">+N14-N24</f>
        <v>71.220000000000084</v>
      </c>
      <c r="O26" s="431">
        <f t="shared" si="9"/>
        <v>71.220000000000084</v>
      </c>
      <c r="P26" s="412">
        <f t="shared" si="9"/>
        <v>0</v>
      </c>
      <c r="Q26" s="431">
        <f t="shared" si="9"/>
        <v>0</v>
      </c>
      <c r="R26" s="412">
        <f t="shared" si="9"/>
        <v>0</v>
      </c>
      <c r="S26" s="431">
        <f t="shared" si="9"/>
        <v>0</v>
      </c>
      <c r="T26" s="412">
        <f t="shared" si="9"/>
        <v>0</v>
      </c>
      <c r="U26" s="431">
        <f t="shared" si="9"/>
        <v>0</v>
      </c>
      <c r="V26" s="412">
        <f t="shared" si="9"/>
        <v>0</v>
      </c>
      <c r="W26" s="431">
        <f t="shared" si="9"/>
        <v>0</v>
      </c>
      <c r="X26" s="412">
        <f t="shared" si="9"/>
        <v>0</v>
      </c>
      <c r="Y26" s="431">
        <f t="shared" si="9"/>
        <v>0</v>
      </c>
      <c r="Z26" s="412">
        <f t="shared" si="9"/>
        <v>0</v>
      </c>
      <c r="AA26" s="431">
        <f t="shared" si="9"/>
        <v>0</v>
      </c>
      <c r="AB26" s="412">
        <f t="shared" si="9"/>
        <v>0</v>
      </c>
      <c r="AC26" s="431">
        <f t="shared" si="9"/>
        <v>0</v>
      </c>
      <c r="AD26" s="412">
        <f t="shared" si="9"/>
        <v>0</v>
      </c>
      <c r="AE26" s="431">
        <f t="shared" si="9"/>
        <v>0</v>
      </c>
      <c r="AF26" s="412">
        <f t="shared" si="9"/>
        <v>0</v>
      </c>
      <c r="AG26" s="431">
        <f t="shared" si="9"/>
        <v>0</v>
      </c>
      <c r="AH26" s="412">
        <f t="shared" si="9"/>
        <v>0</v>
      </c>
      <c r="AI26" s="430">
        <f t="shared" si="9"/>
        <v>0</v>
      </c>
      <c r="AJ26" s="412">
        <f t="shared" si="9"/>
        <v>0</v>
      </c>
      <c r="AK26" s="431">
        <f t="shared" si="9"/>
        <v>0</v>
      </c>
    </row>
    <row r="27" spans="3:37" s="112" customFormat="1" ht="12.75">
      <c r="C27" s="44" t="s">
        <v>131</v>
      </c>
      <c r="D27" s="570" t="s">
        <v>142</v>
      </c>
      <c r="E27" s="570"/>
      <c r="F27" s="570"/>
      <c r="G27" s="570"/>
      <c r="H27" s="571"/>
      <c r="I27" s="53">
        <f>'Input Geschäftsgang'!M55+'Input Geschäftsgang'!M62+'Input Geschäftsgang'!M69</f>
        <v>0</v>
      </c>
      <c r="J27" s="20">
        <f t="shared" ref="J27:J34" si="10">N27+P27+R27+T27+V27+X27+Z27+AB27+AD27+AF27+AH27+AJ27</f>
        <v>0</v>
      </c>
      <c r="K27" s="23" t="str">
        <f t="shared" si="0"/>
        <v>ü</v>
      </c>
      <c r="L27" s="54">
        <f t="shared" ref="L27:L34" si="11">O27+Q27+S27+U27+W27+Y27+AA27+AC27+AE27+AG27+AI27+AK27</f>
        <v>0</v>
      </c>
      <c r="M27" s="55">
        <f t="shared" si="1"/>
        <v>0</v>
      </c>
      <c r="N27" s="56"/>
      <c r="O27" s="57"/>
      <c r="P27" s="56"/>
      <c r="Q27" s="57"/>
      <c r="R27" s="56"/>
      <c r="S27" s="57"/>
      <c r="T27" s="56"/>
      <c r="U27" s="57"/>
      <c r="V27" s="56"/>
      <c r="W27" s="57"/>
      <c r="X27" s="56"/>
      <c r="Y27" s="57"/>
      <c r="Z27" s="56"/>
      <c r="AA27" s="57"/>
      <c r="AB27" s="56"/>
      <c r="AC27" s="57"/>
      <c r="AD27" s="56"/>
      <c r="AE27" s="57"/>
      <c r="AF27" s="56"/>
      <c r="AG27" s="57"/>
      <c r="AH27" s="56"/>
      <c r="AI27" s="57"/>
      <c r="AJ27" s="56"/>
      <c r="AK27" s="57"/>
    </row>
    <row r="28" spans="3:37" s="112" customFormat="1" ht="12.75">
      <c r="C28" s="12" t="s">
        <v>131</v>
      </c>
      <c r="D28" s="566" t="s">
        <v>153</v>
      </c>
      <c r="E28" s="566"/>
      <c r="F28" s="566"/>
      <c r="G28" s="566"/>
      <c r="H28" s="567"/>
      <c r="I28" s="18">
        <f>MAX('Output Mittelflussrechnung'!L30+'Output Mittelflussrechnung'!L29,0)</f>
        <v>0</v>
      </c>
      <c r="J28" s="19">
        <f t="shared" si="10"/>
        <v>0</v>
      </c>
      <c r="K28" s="21" t="str">
        <f t="shared" si="0"/>
        <v>ü</v>
      </c>
      <c r="L28" s="24">
        <f t="shared" si="11"/>
        <v>0</v>
      </c>
      <c r="M28" s="25">
        <f t="shared" si="1"/>
        <v>0</v>
      </c>
      <c r="N28" s="14"/>
      <c r="O28" s="16"/>
      <c r="P28" s="14"/>
      <c r="Q28" s="16"/>
      <c r="R28" s="14"/>
      <c r="S28" s="16"/>
      <c r="T28" s="14"/>
      <c r="U28" s="16"/>
      <c r="V28" s="14"/>
      <c r="W28" s="16"/>
      <c r="X28" s="14"/>
      <c r="Y28" s="16"/>
      <c r="Z28" s="14"/>
      <c r="AA28" s="16"/>
      <c r="AB28" s="14"/>
      <c r="AC28" s="16"/>
      <c r="AD28" s="14"/>
      <c r="AE28" s="16"/>
      <c r="AF28" s="14"/>
      <c r="AG28" s="16"/>
      <c r="AH28" s="14"/>
      <c r="AI28" s="16"/>
      <c r="AJ28" s="14"/>
      <c r="AK28" s="16"/>
    </row>
    <row r="29" spans="3:37" s="112" customFormat="1" ht="12.75">
      <c r="C29" s="12" t="s">
        <v>131</v>
      </c>
      <c r="D29" s="566" t="s">
        <v>143</v>
      </c>
      <c r="E29" s="566"/>
      <c r="F29" s="566"/>
      <c r="G29" s="566"/>
      <c r="H29" s="567"/>
      <c r="I29" s="18">
        <f>MAX('Output Mittelflussrechnung'!L33,0)</f>
        <v>0</v>
      </c>
      <c r="J29" s="19">
        <f t="shared" si="10"/>
        <v>0</v>
      </c>
      <c r="K29" s="21" t="str">
        <f t="shared" si="0"/>
        <v>ü</v>
      </c>
      <c r="L29" s="24">
        <f t="shared" si="11"/>
        <v>0</v>
      </c>
      <c r="M29" s="25">
        <f t="shared" si="1"/>
        <v>0</v>
      </c>
      <c r="N29" s="14"/>
      <c r="O29" s="16"/>
      <c r="P29" s="14"/>
      <c r="Q29" s="16"/>
      <c r="R29" s="14"/>
      <c r="S29" s="16"/>
      <c r="T29" s="14"/>
      <c r="U29" s="16"/>
      <c r="V29" s="14"/>
      <c r="W29" s="16"/>
      <c r="X29" s="14"/>
      <c r="Y29" s="16"/>
      <c r="Z29" s="14"/>
      <c r="AA29" s="16"/>
      <c r="AB29" s="14"/>
      <c r="AC29" s="16"/>
      <c r="AD29" s="14"/>
      <c r="AE29" s="16"/>
      <c r="AF29" s="14"/>
      <c r="AG29" s="16"/>
      <c r="AH29" s="14"/>
      <c r="AI29" s="16"/>
      <c r="AJ29" s="14"/>
      <c r="AK29" s="16"/>
    </row>
    <row r="30" spans="3:37" s="112" customFormat="1" ht="12.75">
      <c r="C30" s="13" t="s">
        <v>131</v>
      </c>
      <c r="D30" s="572"/>
      <c r="E30" s="572"/>
      <c r="F30" s="572"/>
      <c r="G30" s="572"/>
      <c r="H30" s="573"/>
      <c r="I30" s="18"/>
      <c r="J30" s="19">
        <f t="shared" si="10"/>
        <v>0</v>
      </c>
      <c r="K30" s="21" t="str">
        <f t="shared" si="0"/>
        <v>ü</v>
      </c>
      <c r="L30" s="24">
        <f t="shared" si="11"/>
        <v>0</v>
      </c>
      <c r="M30" s="25">
        <f t="shared" si="1"/>
        <v>0</v>
      </c>
      <c r="N30" s="14"/>
      <c r="O30" s="16"/>
      <c r="P30" s="14"/>
      <c r="Q30" s="16"/>
      <c r="R30" s="14"/>
      <c r="S30" s="16"/>
      <c r="T30" s="14"/>
      <c r="U30" s="16"/>
      <c r="V30" s="14"/>
      <c r="W30" s="16"/>
      <c r="X30" s="14"/>
      <c r="Y30" s="16"/>
      <c r="Z30" s="14"/>
      <c r="AA30" s="16"/>
      <c r="AB30" s="14"/>
      <c r="AC30" s="16"/>
      <c r="AD30" s="14"/>
      <c r="AE30" s="16"/>
      <c r="AF30" s="14"/>
      <c r="AG30" s="16"/>
      <c r="AH30" s="14"/>
      <c r="AI30" s="16"/>
      <c r="AJ30" s="14"/>
      <c r="AK30" s="16"/>
    </row>
    <row r="31" spans="3:37" s="112" customFormat="1" ht="12.75">
      <c r="C31" s="12" t="s">
        <v>135</v>
      </c>
      <c r="D31" s="566" t="s">
        <v>144</v>
      </c>
      <c r="E31" s="566"/>
      <c r="F31" s="566"/>
      <c r="G31" s="566"/>
      <c r="H31" s="567"/>
      <c r="I31" s="18">
        <f>-('Input Geschäftsgang'!M54+'Input Geschäftsgang'!M61+'Input Geschäftsgang'!M68)</f>
        <v>0</v>
      </c>
      <c r="J31" s="19">
        <f t="shared" si="10"/>
        <v>0</v>
      </c>
      <c r="K31" s="21" t="str">
        <f t="shared" si="0"/>
        <v>ü</v>
      </c>
      <c r="L31" s="24">
        <f t="shared" si="11"/>
        <v>0</v>
      </c>
      <c r="M31" s="25">
        <f t="shared" si="1"/>
        <v>0</v>
      </c>
      <c r="N31" s="14"/>
      <c r="O31" s="16"/>
      <c r="P31" s="14"/>
      <c r="Q31" s="16"/>
      <c r="R31" s="14"/>
      <c r="S31" s="16"/>
      <c r="T31" s="14"/>
      <c r="U31" s="16"/>
      <c r="V31" s="14"/>
      <c r="W31" s="16"/>
      <c r="X31" s="14"/>
      <c r="Y31" s="16"/>
      <c r="Z31" s="14"/>
      <c r="AA31" s="16"/>
      <c r="AB31" s="14"/>
      <c r="AC31" s="16"/>
      <c r="AD31" s="14"/>
      <c r="AE31" s="16"/>
      <c r="AF31" s="14"/>
      <c r="AG31" s="16"/>
      <c r="AH31" s="14"/>
      <c r="AI31" s="16"/>
      <c r="AJ31" s="14"/>
      <c r="AK31" s="16"/>
    </row>
    <row r="32" spans="3:37" s="112" customFormat="1" ht="12.75">
      <c r="C32" s="12" t="s">
        <v>135</v>
      </c>
      <c r="D32" s="566" t="s">
        <v>154</v>
      </c>
      <c r="E32" s="566"/>
      <c r="F32" s="566"/>
      <c r="G32" s="566"/>
      <c r="H32" s="567"/>
      <c r="I32" s="18">
        <f>-MIN('Output Mittelflussrechnung'!L30+'Output Mittelflussrechnung'!L29,0)</f>
        <v>0</v>
      </c>
      <c r="J32" s="19">
        <f t="shared" si="10"/>
        <v>0</v>
      </c>
      <c r="K32" s="21" t="str">
        <f t="shared" si="0"/>
        <v>ü</v>
      </c>
      <c r="L32" s="24">
        <f t="shared" si="11"/>
        <v>0</v>
      </c>
      <c r="M32" s="25">
        <f t="shared" si="1"/>
        <v>0</v>
      </c>
      <c r="N32" s="14"/>
      <c r="O32" s="16"/>
      <c r="P32" s="14"/>
      <c r="Q32" s="16"/>
      <c r="R32" s="14"/>
      <c r="S32" s="16"/>
      <c r="T32" s="14"/>
      <c r="U32" s="16"/>
      <c r="V32" s="14"/>
      <c r="W32" s="16"/>
      <c r="X32" s="14"/>
      <c r="Y32" s="16"/>
      <c r="Z32" s="14"/>
      <c r="AA32" s="16"/>
      <c r="AB32" s="14"/>
      <c r="AC32" s="16"/>
      <c r="AD32" s="14"/>
      <c r="AE32" s="16"/>
      <c r="AF32" s="14"/>
      <c r="AG32" s="16"/>
      <c r="AH32" s="14"/>
      <c r="AI32" s="16"/>
      <c r="AJ32" s="14"/>
      <c r="AK32" s="16"/>
    </row>
    <row r="33" spans="3:37" s="112" customFormat="1" ht="12.75">
      <c r="C33" s="12" t="s">
        <v>135</v>
      </c>
      <c r="D33" s="566" t="s">
        <v>151</v>
      </c>
      <c r="E33" s="566"/>
      <c r="F33" s="566"/>
      <c r="G33" s="566"/>
      <c r="H33" s="567"/>
      <c r="I33" s="18">
        <f>-MIN('Output Mittelflussrechnung'!L34,0)</f>
        <v>0</v>
      </c>
      <c r="J33" s="19">
        <f t="shared" si="10"/>
        <v>0</v>
      </c>
      <c r="K33" s="21" t="str">
        <f t="shared" si="0"/>
        <v>ü</v>
      </c>
      <c r="L33" s="24">
        <f t="shared" si="11"/>
        <v>0</v>
      </c>
      <c r="M33" s="25">
        <f t="shared" si="1"/>
        <v>0</v>
      </c>
      <c r="N33" s="14"/>
      <c r="O33" s="16"/>
      <c r="P33" s="14"/>
      <c r="Q33" s="16"/>
      <c r="R33" s="14"/>
      <c r="S33" s="16"/>
      <c r="T33" s="14"/>
      <c r="U33" s="16"/>
      <c r="V33" s="14"/>
      <c r="W33" s="16"/>
      <c r="X33" s="14"/>
      <c r="Y33" s="16"/>
      <c r="Z33" s="14"/>
      <c r="AA33" s="16"/>
      <c r="AB33" s="14"/>
      <c r="AC33" s="16"/>
      <c r="AD33" s="14"/>
      <c r="AE33" s="16"/>
      <c r="AF33" s="14"/>
      <c r="AG33" s="16"/>
      <c r="AH33" s="14"/>
      <c r="AI33" s="16"/>
      <c r="AJ33" s="14"/>
      <c r="AK33" s="16"/>
    </row>
    <row r="34" spans="3:37" s="112" customFormat="1" ht="12.75">
      <c r="C34" s="60" t="s">
        <v>135</v>
      </c>
      <c r="D34" s="579"/>
      <c r="E34" s="579"/>
      <c r="F34" s="579"/>
      <c r="G34" s="579"/>
      <c r="H34" s="580"/>
      <c r="I34" s="53"/>
      <c r="J34" s="20">
        <f t="shared" si="10"/>
        <v>0</v>
      </c>
      <c r="K34" s="23" t="str">
        <f t="shared" si="0"/>
        <v>ü</v>
      </c>
      <c r="L34" s="48">
        <f t="shared" si="11"/>
        <v>0</v>
      </c>
      <c r="M34" s="49">
        <f t="shared" si="1"/>
        <v>0</v>
      </c>
      <c r="N34" s="56"/>
      <c r="O34" s="57"/>
      <c r="P34" s="56"/>
      <c r="Q34" s="57"/>
      <c r="R34" s="56"/>
      <c r="S34" s="57"/>
      <c r="T34" s="56"/>
      <c r="U34" s="57"/>
      <c r="V34" s="56"/>
      <c r="W34" s="57"/>
      <c r="X34" s="56"/>
      <c r="Y34" s="57"/>
      <c r="Z34" s="56"/>
      <c r="AA34" s="57"/>
      <c r="AB34" s="56"/>
      <c r="AC34" s="57"/>
      <c r="AD34" s="56"/>
      <c r="AE34" s="57"/>
      <c r="AF34" s="56"/>
      <c r="AG34" s="57"/>
      <c r="AH34" s="56"/>
      <c r="AI34" s="57"/>
      <c r="AJ34" s="56"/>
      <c r="AK34" s="57"/>
    </row>
    <row r="35" spans="3:37" s="112" customFormat="1" ht="12.75">
      <c r="C35" s="439" t="s">
        <v>132</v>
      </c>
      <c r="D35" s="568" t="s">
        <v>145</v>
      </c>
      <c r="E35" s="568"/>
      <c r="F35" s="568"/>
      <c r="G35" s="568"/>
      <c r="H35" s="569"/>
      <c r="I35" s="421">
        <f>I25+SUM(I27:I29)-SUM(I31:I34)</f>
        <v>0</v>
      </c>
      <c r="J35" s="422">
        <f>J25+SUM(J27:J29)-SUM(J31:J34)</f>
        <v>0</v>
      </c>
      <c r="K35" s="59" t="str">
        <f t="shared" si="0"/>
        <v>ü</v>
      </c>
      <c r="L35" s="423">
        <f>L25+SUM(L27:L30)-SUM(L31:L34)</f>
        <v>0</v>
      </c>
      <c r="M35" s="424">
        <f t="shared" si="1"/>
        <v>0</v>
      </c>
      <c r="N35" s="435">
        <f t="shared" ref="N35:AK35" si="12">N25+SUM(N27:N30)-SUM(N31:N34)</f>
        <v>0</v>
      </c>
      <c r="O35" s="440">
        <f t="shared" si="12"/>
        <v>0</v>
      </c>
      <c r="P35" s="435">
        <f t="shared" si="12"/>
        <v>0</v>
      </c>
      <c r="Q35" s="440">
        <f t="shared" si="12"/>
        <v>0</v>
      </c>
      <c r="R35" s="435">
        <f t="shared" si="12"/>
        <v>0</v>
      </c>
      <c r="S35" s="440">
        <f t="shared" si="12"/>
        <v>0</v>
      </c>
      <c r="T35" s="435">
        <f t="shared" si="12"/>
        <v>0</v>
      </c>
      <c r="U35" s="440">
        <f t="shared" si="12"/>
        <v>0</v>
      </c>
      <c r="V35" s="435">
        <f t="shared" si="12"/>
        <v>0</v>
      </c>
      <c r="W35" s="440">
        <f t="shared" si="12"/>
        <v>0</v>
      </c>
      <c r="X35" s="435">
        <f t="shared" si="12"/>
        <v>0</v>
      </c>
      <c r="Y35" s="440">
        <f t="shared" si="12"/>
        <v>0</v>
      </c>
      <c r="Z35" s="435">
        <f t="shared" si="12"/>
        <v>0</v>
      </c>
      <c r="AA35" s="440">
        <f t="shared" si="12"/>
        <v>0</v>
      </c>
      <c r="AB35" s="435">
        <f t="shared" si="12"/>
        <v>0</v>
      </c>
      <c r="AC35" s="440">
        <f t="shared" si="12"/>
        <v>0</v>
      </c>
      <c r="AD35" s="435">
        <f t="shared" si="12"/>
        <v>0</v>
      </c>
      <c r="AE35" s="440">
        <f t="shared" si="12"/>
        <v>0</v>
      </c>
      <c r="AF35" s="435">
        <f t="shared" si="12"/>
        <v>0</v>
      </c>
      <c r="AG35" s="440">
        <f t="shared" si="12"/>
        <v>0</v>
      </c>
      <c r="AH35" s="435">
        <f t="shared" si="12"/>
        <v>0</v>
      </c>
      <c r="AI35" s="440">
        <f t="shared" si="12"/>
        <v>0</v>
      </c>
      <c r="AJ35" s="435">
        <f t="shared" si="12"/>
        <v>0</v>
      </c>
      <c r="AK35" s="436">
        <f t="shared" si="12"/>
        <v>0</v>
      </c>
    </row>
    <row r="36" spans="3:37" s="112" customFormat="1" ht="12.75">
      <c r="C36" s="428"/>
      <c r="D36" s="560" t="s">
        <v>146</v>
      </c>
      <c r="E36" s="560"/>
      <c r="F36" s="560"/>
      <c r="G36" s="560"/>
      <c r="H36" s="561"/>
      <c r="I36" s="412">
        <f>+I26+SUM(I27:I29)-SUM(I31:I34)</f>
        <v>71.220000000000084</v>
      </c>
      <c r="J36" s="413">
        <f>+J26+SUM(J27:J29)-SUM(J31:J34)</f>
        <v>71.220000000000084</v>
      </c>
      <c r="K36" s="43" t="str">
        <f t="shared" si="0"/>
        <v>ü</v>
      </c>
      <c r="L36" s="414">
        <f>+L26+SUM(L27:L30)-SUM(L31:L34)</f>
        <v>71.220000000000084</v>
      </c>
      <c r="M36" s="415">
        <f t="shared" si="1"/>
        <v>1</v>
      </c>
      <c r="N36" s="412">
        <f t="shared" ref="N36:AI36" si="13">+N26+SUM(N27:N30)-SUM(N31:N34)</f>
        <v>71.220000000000084</v>
      </c>
      <c r="O36" s="429">
        <f t="shared" si="13"/>
        <v>71.220000000000084</v>
      </c>
      <c r="P36" s="412">
        <f t="shared" si="13"/>
        <v>0</v>
      </c>
      <c r="Q36" s="429">
        <f t="shared" si="13"/>
        <v>0</v>
      </c>
      <c r="R36" s="412">
        <f t="shared" si="13"/>
        <v>0</v>
      </c>
      <c r="S36" s="429">
        <f t="shared" si="13"/>
        <v>0</v>
      </c>
      <c r="T36" s="412">
        <f t="shared" si="13"/>
        <v>0</v>
      </c>
      <c r="U36" s="429">
        <f t="shared" si="13"/>
        <v>0</v>
      </c>
      <c r="V36" s="412">
        <f t="shared" si="13"/>
        <v>0</v>
      </c>
      <c r="W36" s="429">
        <f t="shared" si="13"/>
        <v>0</v>
      </c>
      <c r="X36" s="412">
        <f t="shared" si="13"/>
        <v>0</v>
      </c>
      <c r="Y36" s="429">
        <f t="shared" si="13"/>
        <v>0</v>
      </c>
      <c r="Z36" s="412">
        <f t="shared" si="13"/>
        <v>0</v>
      </c>
      <c r="AA36" s="429">
        <f t="shared" si="13"/>
        <v>0</v>
      </c>
      <c r="AB36" s="412">
        <f t="shared" si="13"/>
        <v>0</v>
      </c>
      <c r="AC36" s="429">
        <f t="shared" si="13"/>
        <v>0</v>
      </c>
      <c r="AD36" s="412">
        <f t="shared" si="13"/>
        <v>0</v>
      </c>
      <c r="AE36" s="429">
        <f t="shared" si="13"/>
        <v>0</v>
      </c>
      <c r="AF36" s="412">
        <f t="shared" si="13"/>
        <v>0</v>
      </c>
      <c r="AG36" s="429">
        <f t="shared" si="13"/>
        <v>0</v>
      </c>
      <c r="AH36" s="412">
        <f t="shared" si="13"/>
        <v>0</v>
      </c>
      <c r="AI36" s="429">
        <f t="shared" si="13"/>
        <v>0</v>
      </c>
      <c r="AJ36" s="412">
        <f>I36</f>
        <v>71.220000000000084</v>
      </c>
      <c r="AK36" s="431">
        <f>+AK26+SUM(AK27:AK30)-SUM(AK31:AK34)</f>
        <v>0</v>
      </c>
    </row>
    <row r="37" spans="3:37" s="112" customFormat="1" ht="13.5" thickBot="1">
      <c r="C37" s="441" t="s">
        <v>135</v>
      </c>
      <c r="D37" s="562" t="s">
        <v>152</v>
      </c>
      <c r="E37" s="562"/>
      <c r="F37" s="562"/>
      <c r="G37" s="562"/>
      <c r="H37" s="563"/>
      <c r="I37" s="442">
        <f>'Input Eröffnungsbilanz'!$K$13</f>
        <v>10</v>
      </c>
      <c r="J37" s="443">
        <f>N37</f>
        <v>0</v>
      </c>
      <c r="K37" s="22" t="str">
        <f t="shared" si="0"/>
        <v>û</v>
      </c>
      <c r="L37" s="444">
        <f>N37</f>
        <v>0</v>
      </c>
      <c r="M37" s="445">
        <f t="shared" si="1"/>
        <v>0</v>
      </c>
      <c r="N37" s="446"/>
      <c r="O37" s="447"/>
      <c r="P37" s="446">
        <f t="shared" ref="P37:AI37" si="14">+N37</f>
        <v>0</v>
      </c>
      <c r="Q37" s="447">
        <f t="shared" si="14"/>
        <v>0</v>
      </c>
      <c r="R37" s="446">
        <f t="shared" si="14"/>
        <v>0</v>
      </c>
      <c r="S37" s="447">
        <f t="shared" si="14"/>
        <v>0</v>
      </c>
      <c r="T37" s="446">
        <f t="shared" si="14"/>
        <v>0</v>
      </c>
      <c r="U37" s="447">
        <f t="shared" si="14"/>
        <v>0</v>
      </c>
      <c r="V37" s="446">
        <f t="shared" si="14"/>
        <v>0</v>
      </c>
      <c r="W37" s="447">
        <f t="shared" si="14"/>
        <v>0</v>
      </c>
      <c r="X37" s="446">
        <f t="shared" si="14"/>
        <v>0</v>
      </c>
      <c r="Y37" s="447">
        <f t="shared" si="14"/>
        <v>0</v>
      </c>
      <c r="Z37" s="446">
        <f t="shared" si="14"/>
        <v>0</v>
      </c>
      <c r="AA37" s="447">
        <f t="shared" si="14"/>
        <v>0</v>
      </c>
      <c r="AB37" s="446">
        <f t="shared" si="14"/>
        <v>0</v>
      </c>
      <c r="AC37" s="447">
        <f t="shared" si="14"/>
        <v>0</v>
      </c>
      <c r="AD37" s="446">
        <f t="shared" si="14"/>
        <v>0</v>
      </c>
      <c r="AE37" s="447">
        <f t="shared" si="14"/>
        <v>0</v>
      </c>
      <c r="AF37" s="446">
        <f t="shared" si="14"/>
        <v>0</v>
      </c>
      <c r="AG37" s="447">
        <f t="shared" si="14"/>
        <v>0</v>
      </c>
      <c r="AH37" s="446">
        <f t="shared" si="14"/>
        <v>0</v>
      </c>
      <c r="AI37" s="447">
        <f t="shared" si="14"/>
        <v>0</v>
      </c>
      <c r="AJ37" s="448">
        <f>I37</f>
        <v>10</v>
      </c>
      <c r="AK37" s="447">
        <f>+AI37</f>
        <v>0</v>
      </c>
    </row>
    <row r="38" spans="3:37" s="112" customFormat="1" thickBot="1">
      <c r="C38" s="449" t="s">
        <v>132</v>
      </c>
      <c r="D38" s="564" t="s">
        <v>147</v>
      </c>
      <c r="E38" s="564"/>
      <c r="F38" s="564"/>
      <c r="G38" s="564"/>
      <c r="H38" s="565"/>
      <c r="I38" s="450">
        <f>I36-I37</f>
        <v>61.220000000000084</v>
      </c>
      <c r="J38" s="451">
        <f>J36-J37</f>
        <v>71.220000000000084</v>
      </c>
      <c r="K38" s="61" t="str">
        <f t="shared" si="0"/>
        <v>û</v>
      </c>
      <c r="L38" s="452">
        <f>L36-L37</f>
        <v>71.220000000000084</v>
      </c>
      <c r="M38" s="453" t="s">
        <v>45</v>
      </c>
      <c r="N38" s="450">
        <f t="shared" ref="N38:AI38" si="15">N36-N37</f>
        <v>71.220000000000084</v>
      </c>
      <c r="O38" s="454">
        <f t="shared" si="15"/>
        <v>71.220000000000084</v>
      </c>
      <c r="P38" s="450">
        <f t="shared" si="15"/>
        <v>0</v>
      </c>
      <c r="Q38" s="454">
        <f t="shared" si="15"/>
        <v>0</v>
      </c>
      <c r="R38" s="450">
        <f t="shared" si="15"/>
        <v>0</v>
      </c>
      <c r="S38" s="454">
        <f t="shared" si="15"/>
        <v>0</v>
      </c>
      <c r="T38" s="450">
        <f t="shared" si="15"/>
        <v>0</v>
      </c>
      <c r="U38" s="454">
        <f t="shared" si="15"/>
        <v>0</v>
      </c>
      <c r="V38" s="450">
        <f t="shared" si="15"/>
        <v>0</v>
      </c>
      <c r="W38" s="454">
        <f t="shared" si="15"/>
        <v>0</v>
      </c>
      <c r="X38" s="450">
        <f t="shared" si="15"/>
        <v>0</v>
      </c>
      <c r="Y38" s="454">
        <f t="shared" si="15"/>
        <v>0</v>
      </c>
      <c r="Z38" s="450">
        <f t="shared" si="15"/>
        <v>0</v>
      </c>
      <c r="AA38" s="454">
        <f t="shared" si="15"/>
        <v>0</v>
      </c>
      <c r="AB38" s="450">
        <f t="shared" si="15"/>
        <v>0</v>
      </c>
      <c r="AC38" s="454">
        <f t="shared" si="15"/>
        <v>0</v>
      </c>
      <c r="AD38" s="450">
        <f t="shared" si="15"/>
        <v>0</v>
      </c>
      <c r="AE38" s="454">
        <f t="shared" si="15"/>
        <v>0</v>
      </c>
      <c r="AF38" s="450">
        <f t="shared" si="15"/>
        <v>0</v>
      </c>
      <c r="AG38" s="454">
        <f t="shared" si="15"/>
        <v>0</v>
      </c>
      <c r="AH38" s="450">
        <f t="shared" si="15"/>
        <v>0</v>
      </c>
      <c r="AI38" s="454">
        <f t="shared" si="15"/>
        <v>0</v>
      </c>
      <c r="AJ38" s="450">
        <f>I38</f>
        <v>61.220000000000084</v>
      </c>
      <c r="AK38" s="454">
        <f>AK36-AK37</f>
        <v>0</v>
      </c>
    </row>
    <row r="39" spans="3:37" s="112" customFormat="1" ht="12.75">
      <c r="D39" s="387"/>
      <c r="E39" s="206"/>
      <c r="F39" s="387"/>
      <c r="G39" s="206"/>
      <c r="H39" s="388"/>
      <c r="K39" s="410"/>
      <c r="L39" s="410"/>
      <c r="M39" s="411"/>
      <c r="O39" s="388"/>
    </row>
    <row r="40" spans="3:37" s="112" customFormat="1" ht="12.75">
      <c r="D40" s="387"/>
      <c r="E40" s="206"/>
      <c r="F40" s="387"/>
      <c r="G40" s="206"/>
      <c r="H40" s="388"/>
      <c r="K40" s="410"/>
      <c r="L40" s="410"/>
      <c r="M40" s="411"/>
      <c r="O40" s="388"/>
    </row>
    <row r="41" spans="3:37" s="112" customFormat="1" ht="12.75">
      <c r="D41" s="387"/>
      <c r="E41" s="206"/>
      <c r="F41" s="387"/>
      <c r="G41" s="206"/>
      <c r="H41" s="388"/>
      <c r="K41" s="410"/>
      <c r="L41" s="410"/>
      <c r="M41" s="411"/>
      <c r="O41" s="388"/>
    </row>
    <row r="42" spans="3:37" s="112" customFormat="1" ht="12.75">
      <c r="D42" s="387"/>
      <c r="E42" s="206"/>
      <c r="F42" s="387"/>
      <c r="G42" s="206"/>
      <c r="H42" s="388"/>
      <c r="K42" s="410"/>
      <c r="L42" s="410"/>
      <c r="M42" s="411"/>
      <c r="O42" s="388"/>
    </row>
    <row r="43" spans="3:37" s="112" customFormat="1" ht="12.75">
      <c r="D43" s="387"/>
      <c r="E43" s="206"/>
      <c r="F43" s="387"/>
      <c r="G43" s="206"/>
      <c r="H43" s="388"/>
      <c r="K43" s="410"/>
      <c r="L43" s="410"/>
      <c r="M43" s="411"/>
      <c r="O43" s="388"/>
    </row>
    <row r="44" spans="3:37" s="112" customFormat="1" ht="12.75">
      <c r="D44" s="387"/>
      <c r="E44" s="206"/>
      <c r="F44" s="387"/>
      <c r="G44" s="206"/>
      <c r="H44" s="388"/>
      <c r="K44" s="410"/>
      <c r="L44" s="410"/>
      <c r="M44" s="411"/>
      <c r="O44" s="388"/>
    </row>
    <row r="45" spans="3:37" s="112" customFormat="1" ht="12.75">
      <c r="D45" s="387"/>
      <c r="E45" s="206"/>
      <c r="F45" s="387"/>
      <c r="G45" s="206"/>
      <c r="H45" s="388"/>
      <c r="K45" s="410"/>
      <c r="L45" s="410"/>
      <c r="M45" s="411"/>
      <c r="O45" s="388"/>
    </row>
    <row r="46" spans="3:37" s="112" customFormat="1" ht="12.75">
      <c r="D46" s="387"/>
      <c r="E46" s="206"/>
      <c r="F46" s="387"/>
      <c r="G46" s="206"/>
      <c r="H46" s="388"/>
      <c r="K46" s="410"/>
      <c r="L46" s="410"/>
      <c r="M46" s="411"/>
      <c r="O46" s="388"/>
    </row>
    <row r="47" spans="3:37" s="112" customFormat="1" ht="12.75">
      <c r="D47" s="387"/>
      <c r="E47" s="206"/>
      <c r="F47" s="387"/>
      <c r="G47" s="206"/>
      <c r="H47" s="388"/>
      <c r="K47" s="410"/>
      <c r="L47" s="410"/>
      <c r="M47" s="411"/>
      <c r="O47" s="388"/>
    </row>
    <row r="48" spans="3:37" s="112" customFormat="1" ht="12.75">
      <c r="D48" s="387"/>
      <c r="E48" s="206"/>
      <c r="F48" s="387"/>
      <c r="G48" s="206"/>
      <c r="H48" s="388"/>
      <c r="K48" s="410"/>
      <c r="L48" s="410"/>
      <c r="M48" s="411"/>
      <c r="O48" s="388"/>
    </row>
    <row r="49" spans="4:15" s="112" customFormat="1" ht="12.75">
      <c r="D49" s="387"/>
      <c r="E49" s="206"/>
      <c r="F49" s="387"/>
      <c r="G49" s="206"/>
      <c r="H49" s="388"/>
      <c r="K49" s="410"/>
      <c r="L49" s="410"/>
      <c r="M49" s="411"/>
      <c r="O49" s="388"/>
    </row>
    <row r="50" spans="4:15" s="112" customFormat="1" ht="12.75">
      <c r="D50" s="387"/>
      <c r="E50" s="206"/>
      <c r="F50" s="387"/>
      <c r="G50" s="206"/>
      <c r="H50" s="388"/>
      <c r="K50" s="410"/>
      <c r="L50" s="410"/>
      <c r="M50" s="411"/>
      <c r="O50" s="388"/>
    </row>
    <row r="51" spans="4:15" s="112" customFormat="1" ht="12.75">
      <c r="D51" s="387"/>
      <c r="E51" s="206"/>
      <c r="F51" s="387"/>
      <c r="G51" s="206"/>
      <c r="H51" s="388"/>
      <c r="K51" s="410"/>
      <c r="L51" s="410"/>
      <c r="M51" s="411"/>
      <c r="O51" s="388"/>
    </row>
    <row r="52" spans="4:15" s="112" customFormat="1" ht="12.75">
      <c r="D52" s="387"/>
      <c r="E52" s="206"/>
      <c r="F52" s="387"/>
      <c r="G52" s="206"/>
      <c r="H52" s="388"/>
      <c r="K52" s="410"/>
      <c r="L52" s="410"/>
      <c r="M52" s="411"/>
      <c r="O52" s="388"/>
    </row>
    <row r="53" spans="4:15" s="112" customFormat="1" ht="12.75">
      <c r="D53" s="387"/>
      <c r="E53" s="206"/>
      <c r="F53" s="387"/>
      <c r="G53" s="206"/>
      <c r="H53" s="388"/>
      <c r="K53" s="410"/>
      <c r="L53" s="410"/>
      <c r="M53" s="411"/>
      <c r="O53" s="388"/>
    </row>
    <row r="54" spans="4:15" s="112" customFormat="1" ht="12.75">
      <c r="D54" s="387"/>
      <c r="E54" s="206"/>
      <c r="F54" s="387"/>
      <c r="G54" s="206"/>
      <c r="H54" s="388"/>
      <c r="K54" s="410"/>
      <c r="L54" s="410"/>
      <c r="M54" s="411"/>
      <c r="O54" s="388"/>
    </row>
    <row r="55" spans="4:15" s="112" customFormat="1" ht="12.75">
      <c r="D55" s="387"/>
      <c r="E55" s="206"/>
      <c r="F55" s="387"/>
      <c r="G55" s="206"/>
      <c r="H55" s="388"/>
      <c r="K55" s="410"/>
      <c r="L55" s="410"/>
      <c r="M55" s="411"/>
      <c r="O55" s="388"/>
    </row>
    <row r="56" spans="4:15" s="112" customFormat="1" ht="12.75">
      <c r="D56" s="387"/>
      <c r="E56" s="206"/>
      <c r="F56" s="387"/>
      <c r="G56" s="206"/>
      <c r="H56" s="388"/>
      <c r="K56" s="410"/>
      <c r="L56" s="410"/>
      <c r="M56" s="411"/>
      <c r="O56" s="388"/>
    </row>
    <row r="57" spans="4:15" s="112" customFormat="1" ht="12.75">
      <c r="D57" s="387"/>
      <c r="E57" s="206"/>
      <c r="F57" s="387"/>
      <c r="G57" s="206"/>
      <c r="H57" s="388"/>
      <c r="K57" s="410"/>
      <c r="L57" s="410"/>
      <c r="M57" s="411"/>
      <c r="O57" s="388"/>
    </row>
    <row r="58" spans="4:15" s="112" customFormat="1" ht="12.75">
      <c r="D58" s="387"/>
      <c r="E58" s="206"/>
      <c r="F58" s="387"/>
      <c r="G58" s="206"/>
      <c r="H58" s="388"/>
      <c r="K58" s="410"/>
      <c r="L58" s="410"/>
      <c r="M58" s="411"/>
      <c r="O58" s="388"/>
    </row>
    <row r="59" spans="4:15" s="112" customFormat="1" ht="12.75">
      <c r="D59" s="387"/>
      <c r="E59" s="206"/>
      <c r="F59" s="387"/>
      <c r="G59" s="206"/>
      <c r="H59" s="388"/>
      <c r="K59" s="410"/>
      <c r="L59" s="410"/>
      <c r="M59" s="411"/>
      <c r="O59" s="388"/>
    </row>
    <row r="60" spans="4:15" s="112" customFormat="1" ht="12.75">
      <c r="D60" s="387"/>
      <c r="E60" s="206"/>
      <c r="F60" s="387"/>
      <c r="G60" s="206"/>
      <c r="H60" s="388"/>
      <c r="K60" s="410"/>
      <c r="L60" s="410"/>
      <c r="M60" s="411"/>
      <c r="O60" s="388"/>
    </row>
    <row r="61" spans="4:15" s="112" customFormat="1" ht="12.75">
      <c r="D61" s="387"/>
      <c r="E61" s="206"/>
      <c r="F61" s="387"/>
      <c r="G61" s="206"/>
      <c r="H61" s="388"/>
      <c r="K61" s="410"/>
      <c r="L61" s="410"/>
      <c r="M61" s="411"/>
      <c r="O61" s="388"/>
    </row>
    <row r="62" spans="4:15" s="112" customFormat="1" ht="12.75">
      <c r="D62" s="387"/>
      <c r="E62" s="206"/>
      <c r="F62" s="387"/>
      <c r="G62" s="206"/>
      <c r="H62" s="388"/>
      <c r="K62" s="410"/>
      <c r="L62" s="410"/>
      <c r="M62" s="411"/>
      <c r="O62" s="388"/>
    </row>
    <row r="63" spans="4:15" s="112" customFormat="1" ht="12.75">
      <c r="D63" s="387"/>
      <c r="E63" s="206"/>
      <c r="F63" s="387"/>
      <c r="G63" s="206"/>
      <c r="H63" s="388"/>
      <c r="K63" s="410"/>
      <c r="L63" s="410"/>
      <c r="M63" s="411"/>
      <c r="O63" s="388"/>
    </row>
    <row r="64" spans="4:15" s="112" customFormat="1" ht="12.75">
      <c r="D64" s="387"/>
      <c r="E64" s="206"/>
      <c r="F64" s="387"/>
      <c r="G64" s="206"/>
      <c r="H64" s="388"/>
      <c r="K64" s="410"/>
      <c r="L64" s="410"/>
      <c r="M64" s="411"/>
      <c r="O64" s="388"/>
    </row>
    <row r="65" spans="4:15" s="112" customFormat="1" ht="12.75">
      <c r="D65" s="387"/>
      <c r="E65" s="206"/>
      <c r="F65" s="387"/>
      <c r="G65" s="206"/>
      <c r="H65" s="388"/>
      <c r="K65" s="410"/>
      <c r="L65" s="410"/>
      <c r="M65" s="411"/>
      <c r="O65" s="388"/>
    </row>
    <row r="66" spans="4:15" s="112" customFormat="1" ht="12.75">
      <c r="D66" s="387"/>
      <c r="E66" s="206"/>
      <c r="F66" s="387"/>
      <c r="G66" s="206"/>
      <c r="H66" s="388"/>
      <c r="K66" s="410"/>
      <c r="L66" s="410"/>
      <c r="M66" s="411"/>
      <c r="O66" s="388"/>
    </row>
    <row r="67" spans="4:15" s="112" customFormat="1" ht="12.75">
      <c r="D67" s="387"/>
      <c r="E67" s="206"/>
      <c r="F67" s="387"/>
      <c r="G67" s="206"/>
      <c r="H67" s="388"/>
      <c r="K67" s="410"/>
      <c r="L67" s="410"/>
      <c r="M67" s="411"/>
      <c r="O67" s="388"/>
    </row>
    <row r="68" spans="4:15" s="112" customFormat="1" ht="12.75">
      <c r="D68" s="387"/>
      <c r="E68" s="206"/>
      <c r="F68" s="387"/>
      <c r="G68" s="206"/>
      <c r="H68" s="388"/>
      <c r="K68" s="410"/>
      <c r="L68" s="410"/>
      <c r="M68" s="411"/>
      <c r="O68" s="388"/>
    </row>
    <row r="69" spans="4:15" s="112" customFormat="1" ht="12.75">
      <c r="D69" s="387"/>
      <c r="E69" s="206"/>
      <c r="F69" s="387"/>
      <c r="G69" s="206"/>
      <c r="H69" s="388"/>
      <c r="K69" s="410"/>
      <c r="L69" s="410"/>
      <c r="M69" s="411"/>
      <c r="O69" s="388"/>
    </row>
    <row r="70" spans="4:15" s="112" customFormat="1" ht="12.75">
      <c r="D70" s="387"/>
      <c r="E70" s="206"/>
      <c r="F70" s="387"/>
      <c r="G70" s="206"/>
      <c r="H70" s="388"/>
      <c r="K70" s="410"/>
      <c r="L70" s="410"/>
      <c r="M70" s="411"/>
      <c r="O70" s="388"/>
    </row>
    <row r="71" spans="4:15" s="112" customFormat="1" ht="12.75">
      <c r="D71" s="387"/>
      <c r="E71" s="206"/>
      <c r="F71" s="387"/>
      <c r="G71" s="206"/>
      <c r="H71" s="388"/>
      <c r="K71" s="410"/>
      <c r="L71" s="410"/>
      <c r="M71" s="411"/>
      <c r="O71" s="388"/>
    </row>
    <row r="72" spans="4:15" s="112" customFormat="1" ht="12.75">
      <c r="D72" s="387"/>
      <c r="E72" s="206"/>
      <c r="F72" s="387"/>
      <c r="G72" s="206"/>
      <c r="H72" s="388"/>
      <c r="K72" s="410"/>
      <c r="L72" s="410"/>
      <c r="M72" s="411"/>
      <c r="O72" s="388"/>
    </row>
    <row r="73" spans="4:15" s="112" customFormat="1" ht="12.75">
      <c r="D73" s="387"/>
      <c r="E73" s="206"/>
      <c r="F73" s="387"/>
      <c r="G73" s="206"/>
      <c r="H73" s="388"/>
      <c r="K73" s="410"/>
      <c r="L73" s="410"/>
      <c r="M73" s="411"/>
      <c r="O73" s="388"/>
    </row>
    <row r="74" spans="4:15" s="112" customFormat="1" ht="12.75">
      <c r="D74" s="387"/>
      <c r="E74" s="206"/>
      <c r="F74" s="387"/>
      <c r="G74" s="206"/>
      <c r="H74" s="388"/>
      <c r="K74" s="410"/>
      <c r="L74" s="410"/>
      <c r="M74" s="411"/>
      <c r="O74" s="388"/>
    </row>
    <row r="75" spans="4:15" s="112" customFormat="1" ht="12.75">
      <c r="D75" s="387"/>
      <c r="E75" s="206"/>
      <c r="F75" s="387"/>
      <c r="G75" s="206"/>
      <c r="H75" s="388"/>
      <c r="K75" s="410"/>
      <c r="L75" s="410"/>
      <c r="M75" s="411"/>
      <c r="O75" s="388"/>
    </row>
    <row r="76" spans="4:15" s="112" customFormat="1" ht="12.75">
      <c r="D76" s="387"/>
      <c r="E76" s="206"/>
      <c r="F76" s="387"/>
      <c r="G76" s="206"/>
      <c r="H76" s="388"/>
      <c r="K76" s="410"/>
      <c r="L76" s="410"/>
      <c r="M76" s="411"/>
      <c r="O76" s="388"/>
    </row>
    <row r="77" spans="4:15" s="112" customFormat="1" ht="12.75">
      <c r="D77" s="387"/>
      <c r="E77" s="206"/>
      <c r="F77" s="387"/>
      <c r="G77" s="206"/>
      <c r="H77" s="388"/>
      <c r="K77" s="410"/>
      <c r="L77" s="410"/>
      <c r="M77" s="411"/>
      <c r="O77" s="388"/>
    </row>
    <row r="78" spans="4:15" s="112" customFormat="1" ht="12.75">
      <c r="D78" s="387"/>
      <c r="E78" s="206"/>
      <c r="F78" s="387"/>
      <c r="G78" s="206"/>
      <c r="H78" s="388"/>
      <c r="K78" s="410"/>
      <c r="L78" s="410"/>
      <c r="M78" s="411"/>
      <c r="O78" s="388"/>
    </row>
    <row r="79" spans="4:15" s="112" customFormat="1" ht="12.75">
      <c r="D79" s="387"/>
      <c r="E79" s="206"/>
      <c r="F79" s="387"/>
      <c r="G79" s="206"/>
      <c r="H79" s="388"/>
      <c r="K79" s="410"/>
      <c r="L79" s="410"/>
      <c r="M79" s="411"/>
      <c r="O79" s="388"/>
    </row>
    <row r="80" spans="4:15" s="112" customFormat="1" ht="12.75">
      <c r="D80" s="387"/>
      <c r="E80" s="206"/>
      <c r="F80" s="387"/>
      <c r="G80" s="206"/>
      <c r="H80" s="388"/>
      <c r="K80" s="410"/>
      <c r="L80" s="410"/>
      <c r="M80" s="411"/>
      <c r="O80" s="388"/>
    </row>
    <row r="81" spans="4:15" s="112" customFormat="1" ht="12.75">
      <c r="D81" s="387"/>
      <c r="E81" s="206"/>
      <c r="F81" s="387"/>
      <c r="G81" s="206"/>
      <c r="H81" s="388"/>
      <c r="K81" s="410"/>
      <c r="L81" s="410"/>
      <c r="M81" s="411"/>
      <c r="O81" s="388"/>
    </row>
    <row r="82" spans="4:15" s="112" customFormat="1" ht="12.75">
      <c r="D82" s="387"/>
      <c r="E82" s="206"/>
      <c r="F82" s="387"/>
      <c r="G82" s="206"/>
      <c r="H82" s="388"/>
      <c r="K82" s="410"/>
      <c r="L82" s="410"/>
      <c r="M82" s="411"/>
      <c r="O82" s="388"/>
    </row>
    <row r="83" spans="4:15" s="112" customFormat="1" ht="12.75">
      <c r="D83" s="387"/>
      <c r="E83" s="206"/>
      <c r="F83" s="387"/>
      <c r="G83" s="206"/>
      <c r="H83" s="388"/>
      <c r="K83" s="410"/>
      <c r="L83" s="410"/>
      <c r="M83" s="411"/>
      <c r="O83" s="388"/>
    </row>
    <row r="84" spans="4:15" s="112" customFormat="1" ht="12.75">
      <c r="D84" s="387"/>
      <c r="E84" s="206"/>
      <c r="F84" s="387"/>
      <c r="G84" s="206"/>
      <c r="H84" s="388"/>
      <c r="K84" s="410"/>
      <c r="L84" s="410"/>
      <c r="M84" s="411"/>
      <c r="O84" s="388"/>
    </row>
    <row r="85" spans="4:15" s="112" customFormat="1" ht="12.75">
      <c r="D85" s="387"/>
      <c r="E85" s="206"/>
      <c r="F85" s="387"/>
      <c r="G85" s="206"/>
      <c r="H85" s="388"/>
      <c r="K85" s="410"/>
      <c r="L85" s="410"/>
      <c r="M85" s="411"/>
      <c r="O85" s="388"/>
    </row>
    <row r="86" spans="4:15" s="112" customFormat="1" ht="12.75">
      <c r="D86" s="387"/>
      <c r="E86" s="206"/>
      <c r="F86" s="387"/>
      <c r="G86" s="206"/>
      <c r="H86" s="388"/>
      <c r="K86" s="410"/>
      <c r="L86" s="410"/>
      <c r="M86" s="411"/>
      <c r="O86" s="388"/>
    </row>
    <row r="87" spans="4:15" s="112" customFormat="1" ht="12.75">
      <c r="D87" s="387"/>
      <c r="E87" s="206"/>
      <c r="F87" s="387"/>
      <c r="G87" s="206"/>
      <c r="H87" s="388"/>
      <c r="K87" s="410"/>
      <c r="L87" s="410"/>
      <c r="M87" s="411"/>
      <c r="O87" s="388"/>
    </row>
    <row r="88" spans="4:15" s="112" customFormat="1" ht="12.75">
      <c r="D88" s="387"/>
      <c r="E88" s="206"/>
      <c r="F88" s="387"/>
      <c r="G88" s="206"/>
      <c r="H88" s="388"/>
      <c r="K88" s="410"/>
      <c r="L88" s="410"/>
      <c r="M88" s="411"/>
      <c r="O88" s="388"/>
    </row>
    <row r="89" spans="4:15" s="112" customFormat="1" ht="12.75">
      <c r="D89" s="387"/>
      <c r="E89" s="206"/>
      <c r="F89" s="387"/>
      <c r="G89" s="206"/>
      <c r="H89" s="388"/>
      <c r="K89" s="410"/>
      <c r="L89" s="410"/>
      <c r="M89" s="411"/>
      <c r="O89" s="388"/>
    </row>
    <row r="90" spans="4:15" s="112" customFormat="1" ht="12.75">
      <c r="D90" s="387"/>
      <c r="E90" s="206"/>
      <c r="F90" s="387"/>
      <c r="G90" s="206"/>
      <c r="H90" s="388"/>
      <c r="K90" s="410"/>
      <c r="L90" s="410"/>
      <c r="M90" s="411"/>
      <c r="O90" s="388"/>
    </row>
    <row r="91" spans="4:15" s="112" customFormat="1" ht="12.75">
      <c r="D91" s="387"/>
      <c r="E91" s="206"/>
      <c r="F91" s="387"/>
      <c r="G91" s="206"/>
      <c r="H91" s="388"/>
      <c r="K91" s="410"/>
      <c r="L91" s="410"/>
      <c r="M91" s="411"/>
      <c r="O91" s="388"/>
    </row>
    <row r="92" spans="4:15" s="112" customFormat="1" ht="12.75">
      <c r="D92" s="387"/>
      <c r="E92" s="206"/>
      <c r="F92" s="387"/>
      <c r="G92" s="206"/>
      <c r="H92" s="388"/>
      <c r="K92" s="410"/>
      <c r="L92" s="410"/>
      <c r="M92" s="411"/>
      <c r="O92" s="388"/>
    </row>
    <row r="93" spans="4:15" s="112" customFormat="1" ht="12.75">
      <c r="D93" s="387"/>
      <c r="E93" s="206"/>
      <c r="F93" s="387"/>
      <c r="G93" s="206"/>
      <c r="H93" s="388"/>
      <c r="K93" s="410"/>
      <c r="L93" s="410"/>
      <c r="M93" s="411"/>
      <c r="O93" s="388"/>
    </row>
    <row r="94" spans="4:15" s="112" customFormat="1" ht="12.75">
      <c r="D94" s="387"/>
      <c r="E94" s="206"/>
      <c r="F94" s="387"/>
      <c r="G94" s="206"/>
      <c r="H94" s="388"/>
      <c r="K94" s="410"/>
      <c r="L94" s="410"/>
      <c r="M94" s="411"/>
      <c r="O94" s="388"/>
    </row>
    <row r="95" spans="4:15" s="112" customFormat="1" ht="12.75">
      <c r="D95" s="387"/>
      <c r="E95" s="206"/>
      <c r="F95" s="387"/>
      <c r="G95" s="206"/>
      <c r="H95" s="388"/>
      <c r="K95" s="410"/>
      <c r="L95" s="410"/>
      <c r="M95" s="411"/>
      <c r="O95" s="388"/>
    </row>
    <row r="96" spans="4:15" s="112" customFormat="1" ht="12.75">
      <c r="D96" s="387"/>
      <c r="E96" s="206"/>
      <c r="F96" s="387"/>
      <c r="G96" s="206"/>
      <c r="H96" s="388"/>
      <c r="K96" s="410"/>
      <c r="L96" s="410"/>
      <c r="M96" s="411"/>
      <c r="O96" s="388"/>
    </row>
    <row r="97" spans="4:15" s="112" customFormat="1" ht="12.75">
      <c r="D97" s="387"/>
      <c r="E97" s="206"/>
      <c r="F97" s="387"/>
      <c r="G97" s="206"/>
      <c r="H97" s="388"/>
      <c r="K97" s="410"/>
      <c r="L97" s="410"/>
      <c r="M97" s="411"/>
      <c r="O97" s="388"/>
    </row>
    <row r="98" spans="4:15" s="112" customFormat="1" ht="12.75">
      <c r="D98" s="387"/>
      <c r="E98" s="206"/>
      <c r="F98" s="387"/>
      <c r="G98" s="206"/>
      <c r="H98" s="388"/>
      <c r="K98" s="410"/>
      <c r="L98" s="410"/>
      <c r="M98" s="411"/>
      <c r="O98" s="388"/>
    </row>
    <row r="99" spans="4:15" s="112" customFormat="1" ht="12.75">
      <c r="D99" s="387"/>
      <c r="E99" s="206"/>
      <c r="F99" s="387"/>
      <c r="G99" s="206"/>
      <c r="H99" s="388"/>
      <c r="K99" s="410"/>
      <c r="L99" s="410"/>
      <c r="M99" s="411"/>
      <c r="O99" s="388"/>
    </row>
    <row r="100" spans="4:15" s="112" customFormat="1" ht="12.75">
      <c r="D100" s="387"/>
      <c r="E100" s="206"/>
      <c r="F100" s="387"/>
      <c r="G100" s="206"/>
      <c r="H100" s="388"/>
      <c r="K100" s="410"/>
      <c r="L100" s="410"/>
      <c r="M100" s="411"/>
      <c r="O100" s="388"/>
    </row>
    <row r="101" spans="4:15" s="112" customFormat="1" ht="12.75">
      <c r="D101" s="387"/>
      <c r="E101" s="206"/>
      <c r="F101" s="387"/>
      <c r="G101" s="206"/>
      <c r="H101" s="388"/>
      <c r="K101" s="410"/>
      <c r="L101" s="410"/>
      <c r="M101" s="411"/>
      <c r="O101" s="388"/>
    </row>
    <row r="102" spans="4:15" s="112" customFormat="1" ht="12.75">
      <c r="D102" s="387"/>
      <c r="E102" s="206"/>
      <c r="F102" s="387"/>
      <c r="G102" s="206"/>
      <c r="H102" s="388"/>
      <c r="K102" s="410"/>
      <c r="L102" s="410"/>
      <c r="M102" s="411"/>
      <c r="O102" s="388"/>
    </row>
    <row r="103" spans="4:15" s="112" customFormat="1" ht="12.75">
      <c r="D103" s="387"/>
      <c r="E103" s="206"/>
      <c r="F103" s="387"/>
      <c r="G103" s="206"/>
      <c r="H103" s="388"/>
      <c r="K103" s="410"/>
      <c r="L103" s="410"/>
      <c r="M103" s="411"/>
      <c r="O103" s="388"/>
    </row>
    <row r="104" spans="4:15" s="112" customFormat="1" ht="12.75">
      <c r="D104" s="387"/>
      <c r="E104" s="206"/>
      <c r="F104" s="387"/>
      <c r="G104" s="206"/>
      <c r="H104" s="388"/>
      <c r="K104" s="410"/>
      <c r="L104" s="410"/>
      <c r="M104" s="411"/>
      <c r="O104" s="388"/>
    </row>
    <row r="105" spans="4:15" s="112" customFormat="1" ht="12.75">
      <c r="D105" s="387"/>
      <c r="E105" s="206"/>
      <c r="F105" s="387"/>
      <c r="G105" s="206"/>
      <c r="H105" s="388"/>
      <c r="K105" s="410"/>
      <c r="L105" s="410"/>
      <c r="M105" s="411"/>
      <c r="O105" s="388"/>
    </row>
    <row r="106" spans="4:15" s="112" customFormat="1" ht="12.75">
      <c r="D106" s="387"/>
      <c r="E106" s="206"/>
      <c r="F106" s="387"/>
      <c r="G106" s="206"/>
      <c r="H106" s="388"/>
      <c r="K106" s="410"/>
      <c r="L106" s="410"/>
      <c r="M106" s="411"/>
      <c r="O106" s="388"/>
    </row>
    <row r="107" spans="4:15" s="112" customFormat="1" ht="12.75">
      <c r="D107" s="387"/>
      <c r="E107" s="206"/>
      <c r="F107" s="387"/>
      <c r="G107" s="206"/>
      <c r="H107" s="388"/>
      <c r="K107" s="410"/>
      <c r="L107" s="410"/>
      <c r="M107" s="411"/>
      <c r="O107" s="388"/>
    </row>
    <row r="108" spans="4:15" s="112" customFormat="1" ht="12.75">
      <c r="D108" s="387"/>
      <c r="E108" s="206"/>
      <c r="F108" s="387"/>
      <c r="G108" s="206"/>
      <c r="H108" s="388"/>
      <c r="K108" s="410"/>
      <c r="L108" s="410"/>
      <c r="M108" s="411"/>
      <c r="O108" s="388"/>
    </row>
    <row r="109" spans="4:15" s="112" customFormat="1" ht="12.75">
      <c r="D109" s="387"/>
      <c r="E109" s="206"/>
      <c r="F109" s="387"/>
      <c r="G109" s="206"/>
      <c r="H109" s="388"/>
      <c r="K109" s="410"/>
      <c r="L109" s="410"/>
      <c r="M109" s="411"/>
      <c r="O109" s="388"/>
    </row>
    <row r="110" spans="4:15" s="112" customFormat="1" ht="12.75">
      <c r="D110" s="387"/>
      <c r="E110" s="206"/>
      <c r="F110" s="387"/>
      <c r="G110" s="206"/>
      <c r="H110" s="388"/>
      <c r="K110" s="410"/>
      <c r="L110" s="410"/>
      <c r="M110" s="411"/>
      <c r="O110" s="388"/>
    </row>
    <row r="111" spans="4:15" s="112" customFormat="1" ht="12.75">
      <c r="D111" s="387"/>
      <c r="E111" s="206"/>
      <c r="F111" s="387"/>
      <c r="G111" s="206"/>
      <c r="H111" s="388"/>
      <c r="K111" s="410"/>
      <c r="L111" s="410"/>
      <c r="M111" s="411"/>
      <c r="O111" s="388"/>
    </row>
    <row r="112" spans="4:15" s="112" customFormat="1" ht="12.75">
      <c r="D112" s="387"/>
      <c r="E112" s="206"/>
      <c r="F112" s="387"/>
      <c r="G112" s="206"/>
      <c r="H112" s="388"/>
      <c r="K112" s="410"/>
      <c r="L112" s="410"/>
      <c r="M112" s="411"/>
      <c r="O112" s="388"/>
    </row>
    <row r="113" spans="4:15" s="112" customFormat="1" ht="12.75">
      <c r="D113" s="387"/>
      <c r="E113" s="206"/>
      <c r="F113" s="387"/>
      <c r="G113" s="206"/>
      <c r="H113" s="388"/>
      <c r="K113" s="410"/>
      <c r="L113" s="410"/>
      <c r="M113" s="411"/>
      <c r="O113" s="388"/>
    </row>
    <row r="114" spans="4:15" s="112" customFormat="1" ht="12.75">
      <c r="D114" s="387"/>
      <c r="E114" s="206"/>
      <c r="F114" s="387"/>
      <c r="G114" s="206"/>
      <c r="H114" s="388"/>
      <c r="K114" s="410"/>
      <c r="L114" s="410"/>
      <c r="M114" s="411"/>
      <c r="O114" s="388"/>
    </row>
    <row r="115" spans="4:15" s="112" customFormat="1" ht="12.75">
      <c r="D115" s="387"/>
      <c r="E115" s="206"/>
      <c r="F115" s="387"/>
      <c r="G115" s="206"/>
      <c r="H115" s="388"/>
      <c r="K115" s="410"/>
      <c r="L115" s="410"/>
      <c r="M115" s="411"/>
      <c r="O115" s="388"/>
    </row>
    <row r="116" spans="4:15" s="112" customFormat="1" ht="12.75">
      <c r="D116" s="387"/>
      <c r="E116" s="206"/>
      <c r="F116" s="387"/>
      <c r="G116" s="206"/>
      <c r="H116" s="388"/>
      <c r="K116" s="410"/>
      <c r="L116" s="410"/>
      <c r="M116" s="411"/>
      <c r="O116" s="388"/>
    </row>
    <row r="117" spans="4:15" s="112" customFormat="1" ht="12.75">
      <c r="D117" s="387"/>
      <c r="E117" s="206"/>
      <c r="F117" s="387"/>
      <c r="G117" s="206"/>
      <c r="H117" s="388"/>
      <c r="K117" s="410"/>
      <c r="L117" s="410"/>
      <c r="M117" s="411"/>
      <c r="O117" s="388"/>
    </row>
    <row r="118" spans="4:15" s="112" customFormat="1" ht="12.75">
      <c r="D118" s="387"/>
      <c r="E118" s="206"/>
      <c r="F118" s="387"/>
      <c r="G118" s="206"/>
      <c r="H118" s="388"/>
      <c r="K118" s="410"/>
      <c r="L118" s="410"/>
      <c r="M118" s="411"/>
      <c r="O118" s="388"/>
    </row>
    <row r="119" spans="4:15" s="112" customFormat="1" ht="12.75">
      <c r="D119" s="387"/>
      <c r="E119" s="206"/>
      <c r="F119" s="387"/>
      <c r="G119" s="206"/>
      <c r="H119" s="388"/>
      <c r="K119" s="410"/>
      <c r="L119" s="410"/>
      <c r="M119" s="411"/>
      <c r="O119" s="388"/>
    </row>
    <row r="120" spans="4:15" s="112" customFormat="1" ht="12.75">
      <c r="D120" s="387"/>
      <c r="E120" s="206"/>
      <c r="F120" s="387"/>
      <c r="G120" s="206"/>
      <c r="H120" s="388"/>
      <c r="K120" s="410"/>
      <c r="L120" s="410"/>
      <c r="M120" s="411"/>
      <c r="O120" s="388"/>
    </row>
    <row r="121" spans="4:15" s="112" customFormat="1" ht="12.75">
      <c r="D121" s="387"/>
      <c r="E121" s="206"/>
      <c r="F121" s="387"/>
      <c r="G121" s="206"/>
      <c r="H121" s="388"/>
      <c r="K121" s="410"/>
      <c r="L121" s="410"/>
      <c r="M121" s="411"/>
      <c r="O121" s="388"/>
    </row>
    <row r="122" spans="4:15" s="112" customFormat="1" ht="12.75">
      <c r="D122" s="387"/>
      <c r="E122" s="206"/>
      <c r="F122" s="387"/>
      <c r="G122" s="206"/>
      <c r="H122" s="388"/>
      <c r="K122" s="410"/>
      <c r="L122" s="410"/>
      <c r="M122" s="411"/>
      <c r="O122" s="388"/>
    </row>
    <row r="123" spans="4:15" s="112" customFormat="1" ht="12.75">
      <c r="D123" s="387"/>
      <c r="E123" s="206"/>
      <c r="F123" s="387"/>
      <c r="G123" s="206"/>
      <c r="H123" s="388"/>
      <c r="K123" s="410"/>
      <c r="L123" s="410"/>
      <c r="M123" s="411"/>
      <c r="O123" s="388"/>
    </row>
    <row r="124" spans="4:15" s="112" customFormat="1" ht="12.75">
      <c r="D124" s="387"/>
      <c r="E124" s="206"/>
      <c r="F124" s="387"/>
      <c r="G124" s="206"/>
      <c r="H124" s="388"/>
      <c r="K124" s="410"/>
      <c r="L124" s="410"/>
      <c r="M124" s="411"/>
      <c r="O124" s="388"/>
    </row>
    <row r="125" spans="4:15" s="112" customFormat="1" ht="12.75">
      <c r="D125" s="387"/>
      <c r="E125" s="206"/>
      <c r="F125" s="387"/>
      <c r="G125" s="206"/>
      <c r="H125" s="388"/>
      <c r="K125" s="410"/>
      <c r="L125" s="410"/>
      <c r="M125" s="411"/>
      <c r="O125" s="388"/>
    </row>
    <row r="126" spans="4:15" s="112" customFormat="1" ht="12.75">
      <c r="D126" s="387"/>
      <c r="E126" s="206"/>
      <c r="F126" s="387"/>
      <c r="G126" s="206"/>
      <c r="H126" s="388"/>
      <c r="K126" s="410"/>
      <c r="L126" s="410"/>
      <c r="M126" s="411"/>
      <c r="O126" s="388"/>
    </row>
    <row r="127" spans="4:15" s="112" customFormat="1" ht="12.75">
      <c r="D127" s="387"/>
      <c r="E127" s="206"/>
      <c r="F127" s="387"/>
      <c r="G127" s="206"/>
      <c r="H127" s="388"/>
      <c r="K127" s="410"/>
      <c r="L127" s="410"/>
      <c r="M127" s="411"/>
      <c r="O127" s="388"/>
    </row>
    <row r="128" spans="4:15" s="112" customFormat="1" ht="12.75">
      <c r="D128" s="387"/>
      <c r="E128" s="206"/>
      <c r="F128" s="387"/>
      <c r="G128" s="206"/>
      <c r="H128" s="388"/>
      <c r="K128" s="410"/>
      <c r="L128" s="410"/>
      <c r="M128" s="411"/>
      <c r="O128" s="388"/>
    </row>
    <row r="129" spans="4:15" s="112" customFormat="1" ht="12.75">
      <c r="D129" s="387"/>
      <c r="E129" s="206"/>
      <c r="F129" s="387"/>
      <c r="G129" s="206"/>
      <c r="H129" s="388"/>
      <c r="K129" s="410"/>
      <c r="L129" s="410"/>
      <c r="M129" s="411"/>
      <c r="O129" s="388"/>
    </row>
    <row r="130" spans="4:15" s="112" customFormat="1" ht="12.75">
      <c r="D130" s="387"/>
      <c r="E130" s="206"/>
      <c r="F130" s="387"/>
      <c r="G130" s="206"/>
      <c r="H130" s="388"/>
      <c r="K130" s="410"/>
      <c r="L130" s="410"/>
      <c r="M130" s="411"/>
      <c r="O130" s="388"/>
    </row>
    <row r="131" spans="4:15" s="112" customFormat="1" ht="12.75">
      <c r="D131" s="387"/>
      <c r="E131" s="206"/>
      <c r="F131" s="387"/>
      <c r="G131" s="206"/>
      <c r="H131" s="388"/>
      <c r="K131" s="410"/>
      <c r="L131" s="410"/>
      <c r="M131" s="411"/>
      <c r="O131" s="388"/>
    </row>
    <row r="132" spans="4:15" s="112" customFormat="1" ht="12.75">
      <c r="D132" s="387"/>
      <c r="E132" s="206"/>
      <c r="F132" s="387"/>
      <c r="G132" s="206"/>
      <c r="H132" s="388"/>
      <c r="K132" s="410"/>
      <c r="L132" s="410"/>
      <c r="M132" s="411"/>
      <c r="O132" s="388"/>
    </row>
    <row r="133" spans="4:15" s="112" customFormat="1" ht="12.75">
      <c r="D133" s="387"/>
      <c r="E133" s="206"/>
      <c r="F133" s="387"/>
      <c r="G133" s="206"/>
      <c r="H133" s="388"/>
      <c r="K133" s="410"/>
      <c r="L133" s="410"/>
      <c r="M133" s="411"/>
      <c r="O133" s="388"/>
    </row>
    <row r="134" spans="4:15" s="112" customFormat="1" ht="12.75">
      <c r="D134" s="387"/>
      <c r="E134" s="206"/>
      <c r="F134" s="387"/>
      <c r="G134" s="206"/>
      <c r="H134" s="388"/>
      <c r="K134" s="410"/>
      <c r="L134" s="410"/>
      <c r="M134" s="411"/>
      <c r="O134" s="388"/>
    </row>
    <row r="135" spans="4:15" s="112" customFormat="1" ht="12.75">
      <c r="D135" s="387"/>
      <c r="E135" s="206"/>
      <c r="F135" s="387"/>
      <c r="G135" s="206"/>
      <c r="H135" s="388"/>
      <c r="K135" s="410"/>
      <c r="L135" s="410"/>
      <c r="M135" s="411"/>
      <c r="O135" s="388"/>
    </row>
    <row r="136" spans="4:15" s="112" customFormat="1" ht="12.75">
      <c r="D136" s="387"/>
      <c r="E136" s="206"/>
      <c r="F136" s="387"/>
      <c r="G136" s="206"/>
      <c r="H136" s="388"/>
      <c r="K136" s="410"/>
      <c r="L136" s="410"/>
      <c r="M136" s="411"/>
      <c r="O136" s="388"/>
    </row>
    <row r="137" spans="4:15" s="112" customFormat="1" ht="12.75">
      <c r="D137" s="387"/>
      <c r="E137" s="206"/>
      <c r="F137" s="387"/>
      <c r="G137" s="206"/>
      <c r="H137" s="388"/>
      <c r="K137" s="410"/>
      <c r="L137" s="410"/>
      <c r="M137" s="411"/>
      <c r="O137" s="388"/>
    </row>
    <row r="138" spans="4:15" s="112" customFormat="1" ht="12.75">
      <c r="D138" s="387"/>
      <c r="E138" s="206"/>
      <c r="F138" s="387"/>
      <c r="G138" s="206"/>
      <c r="H138" s="388"/>
      <c r="K138" s="410"/>
      <c r="L138" s="410"/>
      <c r="M138" s="411"/>
      <c r="O138" s="388"/>
    </row>
    <row r="139" spans="4:15" s="112" customFormat="1" ht="12.75">
      <c r="D139" s="387"/>
      <c r="E139" s="206"/>
      <c r="F139" s="387"/>
      <c r="G139" s="206"/>
      <c r="H139" s="388"/>
      <c r="K139" s="410"/>
      <c r="L139" s="410"/>
      <c r="M139" s="411"/>
      <c r="O139" s="388"/>
    </row>
    <row r="140" spans="4:15" s="112" customFormat="1" ht="12.75">
      <c r="D140" s="387"/>
      <c r="E140" s="206"/>
      <c r="F140" s="387"/>
      <c r="G140" s="206"/>
      <c r="H140" s="388"/>
      <c r="K140" s="410"/>
      <c r="L140" s="410"/>
      <c r="M140" s="411"/>
      <c r="O140" s="388"/>
    </row>
    <row r="141" spans="4:15" s="112" customFormat="1" ht="12.75">
      <c r="D141" s="387"/>
      <c r="E141" s="206"/>
      <c r="F141" s="387"/>
      <c r="G141" s="206"/>
      <c r="H141" s="388"/>
      <c r="K141" s="410"/>
      <c r="L141" s="410"/>
      <c r="M141" s="411"/>
      <c r="O141" s="388"/>
    </row>
    <row r="142" spans="4:15" s="112" customFormat="1" ht="12.75">
      <c r="D142" s="387"/>
      <c r="E142" s="206"/>
      <c r="F142" s="387"/>
      <c r="G142" s="206"/>
      <c r="H142" s="388"/>
      <c r="K142" s="410"/>
      <c r="L142" s="410"/>
      <c r="M142" s="411"/>
      <c r="O142" s="388"/>
    </row>
    <row r="143" spans="4:15" s="112" customFormat="1" ht="12.75">
      <c r="D143" s="387"/>
      <c r="E143" s="206"/>
      <c r="F143" s="387"/>
      <c r="G143" s="206"/>
      <c r="H143" s="388"/>
      <c r="K143" s="410"/>
      <c r="L143" s="410"/>
      <c r="M143" s="411"/>
      <c r="O143" s="388"/>
    </row>
    <row r="144" spans="4:15" s="112" customFormat="1" ht="12.75">
      <c r="D144" s="387"/>
      <c r="E144" s="206"/>
      <c r="F144" s="387"/>
      <c r="G144" s="206"/>
      <c r="H144" s="388"/>
      <c r="K144" s="410"/>
      <c r="L144" s="410"/>
      <c r="M144" s="411"/>
      <c r="O144" s="388"/>
    </row>
    <row r="145" spans="4:15" s="112" customFormat="1" ht="12.75">
      <c r="D145" s="387"/>
      <c r="E145" s="206"/>
      <c r="F145" s="387"/>
      <c r="G145" s="206"/>
      <c r="H145" s="388"/>
      <c r="K145" s="410"/>
      <c r="L145" s="410"/>
      <c r="M145" s="411"/>
      <c r="O145" s="388"/>
    </row>
    <row r="146" spans="4:15" s="112" customFormat="1" ht="12.75">
      <c r="D146" s="387"/>
      <c r="E146" s="206"/>
      <c r="F146" s="387"/>
      <c r="G146" s="206"/>
      <c r="H146" s="388"/>
      <c r="K146" s="410"/>
      <c r="L146" s="410"/>
      <c r="M146" s="411"/>
      <c r="O146" s="388"/>
    </row>
    <row r="147" spans="4:15" s="112" customFormat="1" ht="12.75">
      <c r="D147" s="387"/>
      <c r="E147" s="206"/>
      <c r="F147" s="387"/>
      <c r="G147" s="206"/>
      <c r="H147" s="388"/>
      <c r="K147" s="410"/>
      <c r="L147" s="410"/>
      <c r="M147" s="411"/>
      <c r="O147" s="388"/>
    </row>
    <row r="148" spans="4:15" s="112" customFormat="1" ht="12.75">
      <c r="D148" s="387"/>
      <c r="E148" s="206"/>
      <c r="F148" s="387"/>
      <c r="G148" s="206"/>
      <c r="H148" s="388"/>
      <c r="K148" s="410"/>
      <c r="L148" s="410"/>
      <c r="M148" s="411"/>
      <c r="O148" s="388"/>
    </row>
    <row r="149" spans="4:15" s="112" customFormat="1" ht="12.75">
      <c r="D149" s="387"/>
      <c r="E149" s="206"/>
      <c r="F149" s="387"/>
      <c r="G149" s="206"/>
      <c r="H149" s="388"/>
      <c r="K149" s="410"/>
      <c r="L149" s="410"/>
      <c r="M149" s="411"/>
      <c r="O149" s="388"/>
    </row>
    <row r="150" spans="4:15" s="112" customFormat="1" ht="12.75">
      <c r="D150" s="387"/>
      <c r="E150" s="206"/>
      <c r="F150" s="387"/>
      <c r="G150" s="206"/>
      <c r="H150" s="388"/>
      <c r="K150" s="410"/>
      <c r="L150" s="410"/>
      <c r="M150" s="411"/>
      <c r="O150" s="388"/>
    </row>
    <row r="151" spans="4:15" s="112" customFormat="1" ht="12.75">
      <c r="D151" s="387"/>
      <c r="E151" s="206"/>
      <c r="F151" s="387"/>
      <c r="G151" s="206"/>
      <c r="H151" s="388"/>
      <c r="K151" s="410"/>
      <c r="L151" s="410"/>
      <c r="M151" s="411"/>
      <c r="O151" s="388"/>
    </row>
    <row r="152" spans="4:15" s="112" customFormat="1" ht="12.75">
      <c r="D152" s="387"/>
      <c r="E152" s="206"/>
      <c r="F152" s="387"/>
      <c r="G152" s="206"/>
      <c r="H152" s="388"/>
      <c r="K152" s="410"/>
      <c r="L152" s="410"/>
      <c r="M152" s="411"/>
      <c r="O152" s="388"/>
    </row>
    <row r="153" spans="4:15" s="112" customFormat="1" ht="12.75">
      <c r="D153" s="387"/>
      <c r="E153" s="206"/>
      <c r="F153" s="387"/>
      <c r="G153" s="206"/>
      <c r="H153" s="388"/>
      <c r="K153" s="410"/>
      <c r="L153" s="410"/>
      <c r="M153" s="411"/>
      <c r="O153" s="388"/>
    </row>
    <row r="154" spans="4:15" s="112" customFormat="1" ht="12.75">
      <c r="D154" s="387"/>
      <c r="E154" s="206"/>
      <c r="F154" s="387"/>
      <c r="G154" s="206"/>
      <c r="H154" s="388"/>
      <c r="K154" s="410"/>
      <c r="L154" s="410"/>
      <c r="M154" s="411"/>
      <c r="O154" s="388"/>
    </row>
    <row r="155" spans="4:15" s="112" customFormat="1" ht="12.75">
      <c r="D155" s="387"/>
      <c r="E155" s="206"/>
      <c r="F155" s="387"/>
      <c r="G155" s="206"/>
      <c r="H155" s="388"/>
      <c r="K155" s="410"/>
      <c r="L155" s="410"/>
      <c r="M155" s="411"/>
      <c r="O155" s="388"/>
    </row>
    <row r="156" spans="4:15" s="112" customFormat="1" ht="12.75">
      <c r="D156" s="387"/>
      <c r="E156" s="206"/>
      <c r="F156" s="387"/>
      <c r="G156" s="206"/>
      <c r="H156" s="388"/>
      <c r="K156" s="410"/>
      <c r="L156" s="410"/>
      <c r="M156" s="411"/>
      <c r="O156" s="388"/>
    </row>
    <row r="157" spans="4:15" s="112" customFormat="1" ht="12.75">
      <c r="D157" s="387"/>
      <c r="E157" s="206"/>
      <c r="F157" s="387"/>
      <c r="G157" s="206"/>
      <c r="H157" s="388"/>
      <c r="K157" s="410"/>
      <c r="L157" s="410"/>
      <c r="M157" s="411"/>
      <c r="O157" s="388"/>
    </row>
    <row r="158" spans="4:15" s="112" customFormat="1" ht="12.75">
      <c r="D158" s="387"/>
      <c r="E158" s="206"/>
      <c r="F158" s="387"/>
      <c r="G158" s="206"/>
      <c r="H158" s="388"/>
      <c r="K158" s="410"/>
      <c r="L158" s="410"/>
      <c r="M158" s="411"/>
      <c r="O158" s="388"/>
    </row>
    <row r="159" spans="4:15" s="112" customFormat="1" ht="12.75">
      <c r="D159" s="387"/>
      <c r="E159" s="206"/>
      <c r="F159" s="387"/>
      <c r="G159" s="206"/>
      <c r="H159" s="388"/>
      <c r="K159" s="410"/>
      <c r="L159" s="410"/>
      <c r="M159" s="411"/>
      <c r="O159" s="388"/>
    </row>
    <row r="160" spans="4:15" s="112" customFormat="1" ht="12.75">
      <c r="D160" s="387"/>
      <c r="E160" s="206"/>
      <c r="F160" s="387"/>
      <c r="G160" s="206"/>
      <c r="H160" s="388"/>
      <c r="K160" s="410"/>
      <c r="L160" s="410"/>
      <c r="M160" s="411"/>
      <c r="O160" s="388"/>
    </row>
    <row r="161" spans="4:15" s="112" customFormat="1" ht="12.75">
      <c r="D161" s="387"/>
      <c r="E161" s="206"/>
      <c r="F161" s="387"/>
      <c r="G161" s="206"/>
      <c r="H161" s="388"/>
      <c r="K161" s="410"/>
      <c r="L161" s="410"/>
      <c r="M161" s="411"/>
      <c r="O161" s="388"/>
    </row>
    <row r="162" spans="4:15" s="112" customFormat="1" ht="12.75">
      <c r="D162" s="387"/>
      <c r="E162" s="206"/>
      <c r="F162" s="387"/>
      <c r="G162" s="206"/>
      <c r="H162" s="388"/>
      <c r="K162" s="410"/>
      <c r="L162" s="410"/>
      <c r="M162" s="411"/>
      <c r="O162" s="388"/>
    </row>
    <row r="163" spans="4:15" s="112" customFormat="1" ht="12.75">
      <c r="D163" s="387"/>
      <c r="E163" s="206"/>
      <c r="F163" s="387"/>
      <c r="G163" s="206"/>
      <c r="H163" s="388"/>
      <c r="K163" s="410"/>
      <c r="L163" s="410"/>
      <c r="M163" s="411"/>
      <c r="O163" s="388"/>
    </row>
    <row r="164" spans="4:15" s="112" customFormat="1" ht="12.75">
      <c r="D164" s="387"/>
      <c r="E164" s="206"/>
      <c r="F164" s="387"/>
      <c r="G164" s="206"/>
      <c r="H164" s="388"/>
      <c r="K164" s="410"/>
      <c r="L164" s="410"/>
      <c r="M164" s="411"/>
      <c r="O164" s="388"/>
    </row>
    <row r="165" spans="4:15" s="112" customFormat="1" ht="12.75">
      <c r="D165" s="387"/>
      <c r="E165" s="206"/>
      <c r="F165" s="387"/>
      <c r="G165" s="206"/>
      <c r="H165" s="388"/>
      <c r="K165" s="410"/>
      <c r="L165" s="410"/>
      <c r="M165" s="411"/>
      <c r="O165" s="388"/>
    </row>
    <row r="166" spans="4:15" s="112" customFormat="1" ht="12.75">
      <c r="D166" s="387"/>
      <c r="E166" s="206"/>
      <c r="F166" s="387"/>
      <c r="G166" s="206"/>
      <c r="H166" s="388"/>
      <c r="K166" s="410"/>
      <c r="L166" s="410"/>
      <c r="M166" s="411"/>
      <c r="O166" s="388"/>
    </row>
    <row r="167" spans="4:15" s="112" customFormat="1" ht="12.75">
      <c r="D167" s="387"/>
      <c r="E167" s="206"/>
      <c r="F167" s="387"/>
      <c r="G167" s="206"/>
      <c r="H167" s="388"/>
      <c r="K167" s="410"/>
      <c r="L167" s="410"/>
      <c r="M167" s="411"/>
      <c r="O167" s="388"/>
    </row>
    <row r="168" spans="4:15" s="112" customFormat="1" ht="12.75">
      <c r="D168" s="387"/>
      <c r="E168" s="206"/>
      <c r="F168" s="387"/>
      <c r="G168" s="206"/>
      <c r="H168" s="388"/>
      <c r="K168" s="410"/>
      <c r="L168" s="410"/>
      <c r="M168" s="411"/>
      <c r="O168" s="388"/>
    </row>
    <row r="169" spans="4:15" s="112" customFormat="1" ht="12.75">
      <c r="D169" s="387"/>
      <c r="E169" s="206"/>
      <c r="F169" s="387"/>
      <c r="G169" s="206"/>
      <c r="H169" s="388"/>
      <c r="K169" s="410"/>
      <c r="L169" s="410"/>
      <c r="M169" s="411"/>
      <c r="O169" s="388"/>
    </row>
    <row r="170" spans="4:15" s="112" customFormat="1" ht="12.75">
      <c r="D170" s="387"/>
      <c r="E170" s="206"/>
      <c r="F170" s="387"/>
      <c r="G170" s="206"/>
      <c r="H170" s="388"/>
      <c r="K170" s="410"/>
      <c r="L170" s="410"/>
      <c r="M170" s="411"/>
      <c r="O170" s="388"/>
    </row>
    <row r="171" spans="4:15" s="112" customFormat="1" ht="12.75">
      <c r="D171" s="387"/>
      <c r="E171" s="206"/>
      <c r="F171" s="387"/>
      <c r="G171" s="206"/>
      <c r="H171" s="388"/>
      <c r="K171" s="410"/>
      <c r="L171" s="410"/>
      <c r="M171" s="411"/>
      <c r="O171" s="388"/>
    </row>
    <row r="172" spans="4:15" s="112" customFormat="1" ht="12.75">
      <c r="D172" s="387"/>
      <c r="E172" s="206"/>
      <c r="F172" s="387"/>
      <c r="G172" s="206"/>
      <c r="H172" s="388"/>
      <c r="K172" s="410"/>
      <c r="L172" s="410"/>
      <c r="M172" s="411"/>
      <c r="O172" s="388"/>
    </row>
    <row r="173" spans="4:15" s="112" customFormat="1" ht="12.75">
      <c r="D173" s="387"/>
      <c r="E173" s="206"/>
      <c r="F173" s="387"/>
      <c r="G173" s="206"/>
      <c r="H173" s="388"/>
      <c r="K173" s="410"/>
      <c r="L173" s="410"/>
      <c r="M173" s="411"/>
      <c r="O173" s="388"/>
    </row>
    <row r="174" spans="4:15" s="112" customFormat="1" ht="12.75">
      <c r="D174" s="387"/>
      <c r="E174" s="206"/>
      <c r="F174" s="387"/>
      <c r="G174" s="206"/>
      <c r="H174" s="388"/>
      <c r="K174" s="410"/>
      <c r="L174" s="410"/>
      <c r="M174" s="411"/>
      <c r="O174" s="388"/>
    </row>
    <row r="175" spans="4:15" s="112" customFormat="1" ht="12.75">
      <c r="D175" s="387"/>
      <c r="E175" s="206"/>
      <c r="F175" s="387"/>
      <c r="G175" s="206"/>
      <c r="H175" s="388"/>
      <c r="K175" s="410"/>
      <c r="L175" s="410"/>
      <c r="M175" s="411"/>
      <c r="O175" s="388"/>
    </row>
    <row r="176" spans="4:15" s="112" customFormat="1" ht="12.75">
      <c r="D176" s="387"/>
      <c r="E176" s="206"/>
      <c r="F176" s="387"/>
      <c r="G176" s="206"/>
      <c r="H176" s="388"/>
      <c r="K176" s="410"/>
      <c r="L176" s="410"/>
      <c r="M176" s="411"/>
      <c r="O176" s="388"/>
    </row>
    <row r="177" spans="4:15" s="112" customFormat="1" ht="12.75">
      <c r="D177" s="387"/>
      <c r="E177" s="206"/>
      <c r="F177" s="387"/>
      <c r="G177" s="206"/>
      <c r="H177" s="388"/>
      <c r="K177" s="410"/>
      <c r="L177" s="410"/>
      <c r="M177" s="411"/>
      <c r="O177" s="388"/>
    </row>
    <row r="178" spans="4:15" s="112" customFormat="1" ht="12.75">
      <c r="D178" s="387"/>
      <c r="E178" s="206"/>
      <c r="F178" s="387"/>
      <c r="G178" s="206"/>
      <c r="H178" s="388"/>
      <c r="K178" s="410"/>
      <c r="L178" s="410"/>
      <c r="M178" s="411"/>
      <c r="O178" s="388"/>
    </row>
    <row r="179" spans="4:15" s="112" customFormat="1" ht="12.75">
      <c r="D179" s="387"/>
      <c r="E179" s="206"/>
      <c r="F179" s="387"/>
      <c r="G179" s="206"/>
      <c r="H179" s="388"/>
      <c r="K179" s="410"/>
      <c r="L179" s="410"/>
      <c r="M179" s="411"/>
      <c r="O179" s="388"/>
    </row>
    <row r="180" spans="4:15" s="112" customFormat="1" ht="12.75">
      <c r="D180" s="387"/>
      <c r="E180" s="206"/>
      <c r="F180" s="387"/>
      <c r="G180" s="206"/>
      <c r="H180" s="388"/>
      <c r="K180" s="410"/>
      <c r="L180" s="410"/>
      <c r="M180" s="411"/>
      <c r="O180" s="388"/>
    </row>
    <row r="181" spans="4:15" s="112" customFormat="1" ht="12.75">
      <c r="D181" s="387"/>
      <c r="E181" s="206"/>
      <c r="F181" s="387"/>
      <c r="G181" s="206"/>
      <c r="H181" s="388"/>
      <c r="K181" s="410"/>
      <c r="L181" s="410"/>
      <c r="M181" s="411"/>
      <c r="O181" s="388"/>
    </row>
    <row r="182" spans="4:15" s="112" customFormat="1" ht="12.75">
      <c r="D182" s="387"/>
      <c r="E182" s="206"/>
      <c r="F182" s="387"/>
      <c r="G182" s="206"/>
      <c r="H182" s="388"/>
      <c r="K182" s="410"/>
      <c r="L182" s="410"/>
      <c r="M182" s="411"/>
      <c r="O182" s="388"/>
    </row>
    <row r="183" spans="4:15" s="112" customFormat="1" ht="12.75">
      <c r="D183" s="387"/>
      <c r="E183" s="206"/>
      <c r="F183" s="387"/>
      <c r="G183" s="206"/>
      <c r="H183" s="388"/>
      <c r="K183" s="410"/>
      <c r="L183" s="410"/>
      <c r="M183" s="411"/>
      <c r="O183" s="388"/>
    </row>
    <row r="184" spans="4:15" s="112" customFormat="1" ht="12.75">
      <c r="D184" s="387"/>
      <c r="E184" s="206"/>
      <c r="F184" s="387"/>
      <c r="G184" s="206"/>
      <c r="H184" s="388"/>
      <c r="K184" s="410"/>
      <c r="L184" s="410"/>
      <c r="M184" s="411"/>
      <c r="O184" s="388"/>
    </row>
    <row r="185" spans="4:15" s="112" customFormat="1" ht="12.75">
      <c r="D185" s="387"/>
      <c r="E185" s="206"/>
      <c r="F185" s="387"/>
      <c r="G185" s="206"/>
      <c r="H185" s="388"/>
      <c r="K185" s="410"/>
      <c r="L185" s="410"/>
      <c r="M185" s="411"/>
      <c r="O185" s="388"/>
    </row>
    <row r="186" spans="4:15" s="112" customFormat="1" ht="12.75">
      <c r="D186" s="387"/>
      <c r="E186" s="206"/>
      <c r="F186" s="387"/>
      <c r="G186" s="206"/>
      <c r="H186" s="388"/>
      <c r="K186" s="410"/>
      <c r="L186" s="410"/>
      <c r="M186" s="411"/>
      <c r="O186" s="388"/>
    </row>
    <row r="187" spans="4:15" s="112" customFormat="1" ht="12.75">
      <c r="D187" s="387"/>
      <c r="E187" s="206"/>
      <c r="F187" s="387"/>
      <c r="G187" s="206"/>
      <c r="H187" s="388"/>
      <c r="K187" s="410"/>
      <c r="L187" s="410"/>
      <c r="M187" s="411"/>
      <c r="O187" s="388"/>
    </row>
    <row r="188" spans="4:15" s="112" customFormat="1" ht="12.75">
      <c r="D188" s="387"/>
      <c r="E188" s="206"/>
      <c r="F188" s="387"/>
      <c r="G188" s="206"/>
      <c r="H188" s="388"/>
      <c r="K188" s="410"/>
      <c r="L188" s="410"/>
      <c r="M188" s="411"/>
      <c r="O188" s="388"/>
    </row>
    <row r="189" spans="4:15" s="112" customFormat="1" ht="12.75">
      <c r="D189" s="387"/>
      <c r="E189" s="206"/>
      <c r="F189" s="387"/>
      <c r="G189" s="206"/>
      <c r="H189" s="388"/>
      <c r="K189" s="410"/>
      <c r="L189" s="410"/>
      <c r="M189" s="411"/>
      <c r="O189" s="388"/>
    </row>
    <row r="190" spans="4:15" s="112" customFormat="1" ht="12.75">
      <c r="D190" s="387"/>
      <c r="E190" s="206"/>
      <c r="F190" s="387"/>
      <c r="G190" s="206"/>
      <c r="H190" s="388"/>
      <c r="K190" s="410"/>
      <c r="L190" s="410"/>
      <c r="M190" s="411"/>
      <c r="O190" s="388"/>
    </row>
    <row r="191" spans="4:15" s="112" customFormat="1" ht="12.75">
      <c r="D191" s="387"/>
      <c r="E191" s="206"/>
      <c r="F191" s="387"/>
      <c r="G191" s="206"/>
      <c r="H191" s="388"/>
      <c r="K191" s="410"/>
      <c r="L191" s="410"/>
      <c r="M191" s="411"/>
      <c r="O191" s="388"/>
    </row>
    <row r="192" spans="4:15" s="112" customFormat="1" ht="12.75">
      <c r="D192" s="387"/>
      <c r="E192" s="206"/>
      <c r="F192" s="387"/>
      <c r="G192" s="206"/>
      <c r="H192" s="388"/>
      <c r="K192" s="410"/>
      <c r="L192" s="410"/>
      <c r="M192" s="411"/>
      <c r="O192" s="388"/>
    </row>
    <row r="193" spans="4:15" s="112" customFormat="1" ht="12.75">
      <c r="D193" s="387"/>
      <c r="E193" s="206"/>
      <c r="F193" s="387"/>
      <c r="G193" s="206"/>
      <c r="H193" s="388"/>
      <c r="K193" s="410"/>
      <c r="L193" s="410"/>
      <c r="M193" s="411"/>
      <c r="O193" s="388"/>
    </row>
    <row r="194" spans="4:15" s="112" customFormat="1" ht="12.75">
      <c r="D194" s="387"/>
      <c r="E194" s="206"/>
      <c r="F194" s="387"/>
      <c r="G194" s="206"/>
      <c r="H194" s="388"/>
      <c r="K194" s="410"/>
      <c r="L194" s="410"/>
      <c r="M194" s="411"/>
      <c r="O194" s="388"/>
    </row>
    <row r="195" spans="4:15" s="112" customFormat="1" ht="12.75">
      <c r="D195" s="387"/>
      <c r="E195" s="206"/>
      <c r="F195" s="387"/>
      <c r="G195" s="206"/>
      <c r="H195" s="388"/>
      <c r="K195" s="410"/>
      <c r="L195" s="410"/>
      <c r="M195" s="411"/>
      <c r="O195" s="388"/>
    </row>
    <row r="196" spans="4:15" s="112" customFormat="1" ht="12.75">
      <c r="D196" s="387"/>
      <c r="E196" s="206"/>
      <c r="F196" s="387"/>
      <c r="G196" s="206"/>
      <c r="H196" s="388"/>
      <c r="K196" s="410"/>
      <c r="L196" s="410"/>
      <c r="M196" s="411"/>
      <c r="O196" s="388"/>
    </row>
    <row r="197" spans="4:15" s="112" customFormat="1" ht="12.75">
      <c r="D197" s="387"/>
      <c r="E197" s="206"/>
      <c r="F197" s="387"/>
      <c r="G197" s="206"/>
      <c r="H197" s="388"/>
      <c r="K197" s="410"/>
      <c r="L197" s="410"/>
      <c r="M197" s="411"/>
      <c r="O197" s="388"/>
    </row>
    <row r="198" spans="4:15" s="112" customFormat="1" ht="12.75">
      <c r="D198" s="387"/>
      <c r="E198" s="206"/>
      <c r="F198" s="387"/>
      <c r="G198" s="206"/>
      <c r="H198" s="388"/>
      <c r="K198" s="410"/>
      <c r="L198" s="410"/>
      <c r="M198" s="411"/>
      <c r="O198" s="388"/>
    </row>
    <row r="199" spans="4:15" s="112" customFormat="1" ht="12.75">
      <c r="D199" s="387"/>
      <c r="E199" s="206"/>
      <c r="F199" s="387"/>
      <c r="G199" s="206"/>
      <c r="H199" s="388"/>
      <c r="K199" s="410"/>
      <c r="L199" s="410"/>
      <c r="M199" s="411"/>
      <c r="O199" s="388"/>
    </row>
    <row r="200" spans="4:15" s="112" customFormat="1" ht="12.75">
      <c r="D200" s="387"/>
      <c r="E200" s="206"/>
      <c r="F200" s="387"/>
      <c r="G200" s="206"/>
      <c r="H200" s="388"/>
      <c r="K200" s="410"/>
      <c r="L200" s="410"/>
      <c r="M200" s="411"/>
      <c r="O200" s="388"/>
    </row>
    <row r="201" spans="4:15" s="112" customFormat="1" ht="12.75">
      <c r="D201" s="387"/>
      <c r="E201" s="206"/>
      <c r="F201" s="387"/>
      <c r="G201" s="206"/>
      <c r="H201" s="388"/>
      <c r="K201" s="410"/>
      <c r="L201" s="410"/>
      <c r="M201" s="411"/>
      <c r="O201" s="388"/>
    </row>
    <row r="202" spans="4:15" s="112" customFormat="1" ht="12.75">
      <c r="D202" s="387"/>
      <c r="E202" s="206"/>
      <c r="F202" s="387"/>
      <c r="G202" s="206"/>
      <c r="H202" s="388"/>
      <c r="K202" s="410"/>
      <c r="L202" s="410"/>
      <c r="M202" s="411"/>
      <c r="O202" s="388"/>
    </row>
    <row r="203" spans="4:15" s="112" customFormat="1" ht="12.75">
      <c r="D203" s="387"/>
      <c r="E203" s="206"/>
      <c r="F203" s="387"/>
      <c r="G203" s="206"/>
      <c r="H203" s="388"/>
      <c r="K203" s="410"/>
      <c r="L203" s="410"/>
      <c r="M203" s="411"/>
      <c r="O203" s="388"/>
    </row>
    <row r="204" spans="4:15" s="112" customFormat="1" ht="12.75">
      <c r="D204" s="387"/>
      <c r="E204" s="206"/>
      <c r="F204" s="387"/>
      <c r="G204" s="206"/>
      <c r="H204" s="388"/>
      <c r="K204" s="410"/>
      <c r="L204" s="410"/>
      <c r="M204" s="411"/>
      <c r="O204" s="388"/>
    </row>
    <row r="205" spans="4:15" s="112" customFormat="1" ht="12.75">
      <c r="D205" s="387"/>
      <c r="E205" s="206"/>
      <c r="F205" s="387"/>
      <c r="G205" s="206"/>
      <c r="H205" s="388"/>
      <c r="K205" s="410"/>
      <c r="L205" s="410"/>
      <c r="M205" s="411"/>
      <c r="O205" s="388"/>
    </row>
    <row r="206" spans="4:15" s="112" customFormat="1" ht="12.75">
      <c r="D206" s="387"/>
      <c r="E206" s="206"/>
      <c r="F206" s="387"/>
      <c r="G206" s="206"/>
      <c r="H206" s="388"/>
      <c r="K206" s="410"/>
      <c r="L206" s="410"/>
      <c r="M206" s="411"/>
      <c r="O206" s="388"/>
    </row>
    <row r="207" spans="4:15" s="112" customFormat="1" ht="12.75">
      <c r="D207" s="387"/>
      <c r="E207" s="206"/>
      <c r="F207" s="387"/>
      <c r="G207" s="206"/>
      <c r="H207" s="388"/>
      <c r="K207" s="410"/>
      <c r="L207" s="410"/>
      <c r="M207" s="411"/>
      <c r="O207" s="388"/>
    </row>
    <row r="208" spans="4:15" s="112" customFormat="1" ht="12.75">
      <c r="D208" s="387"/>
      <c r="E208" s="206"/>
      <c r="F208" s="387"/>
      <c r="G208" s="206"/>
      <c r="H208" s="388"/>
      <c r="K208" s="410"/>
      <c r="L208" s="410"/>
      <c r="M208" s="411"/>
      <c r="O208" s="388"/>
    </row>
    <row r="209" spans="4:15" s="112" customFormat="1" ht="12.75">
      <c r="D209" s="387"/>
      <c r="E209" s="206"/>
      <c r="F209" s="387"/>
      <c r="G209" s="206"/>
      <c r="H209" s="388"/>
      <c r="K209" s="410"/>
      <c r="L209" s="410"/>
      <c r="M209" s="411"/>
      <c r="O209" s="388"/>
    </row>
    <row r="210" spans="4:15" s="112" customFormat="1" ht="12.75">
      <c r="D210" s="387"/>
      <c r="E210" s="206"/>
      <c r="F210" s="387"/>
      <c r="G210" s="206"/>
      <c r="H210" s="388"/>
      <c r="K210" s="410"/>
      <c r="L210" s="410"/>
      <c r="M210" s="411"/>
      <c r="O210" s="388"/>
    </row>
    <row r="211" spans="4:15" s="112" customFormat="1" ht="12.75">
      <c r="D211" s="387"/>
      <c r="E211" s="206"/>
      <c r="F211" s="387"/>
      <c r="G211" s="206"/>
      <c r="H211" s="388"/>
      <c r="K211" s="410"/>
      <c r="L211" s="410"/>
      <c r="M211" s="411"/>
      <c r="O211" s="388"/>
    </row>
    <row r="212" spans="4:15" s="112" customFormat="1" ht="12.75">
      <c r="D212" s="387"/>
      <c r="E212" s="206"/>
      <c r="F212" s="387"/>
      <c r="G212" s="206"/>
      <c r="H212" s="388"/>
      <c r="K212" s="410"/>
      <c r="L212" s="410"/>
      <c r="M212" s="411"/>
      <c r="O212" s="388"/>
    </row>
    <row r="213" spans="4:15" s="112" customFormat="1" ht="12.75">
      <c r="D213" s="387"/>
      <c r="E213" s="206"/>
      <c r="F213" s="387"/>
      <c r="G213" s="206"/>
      <c r="H213" s="388"/>
      <c r="K213" s="410"/>
      <c r="L213" s="410"/>
      <c r="M213" s="411"/>
      <c r="O213" s="388"/>
    </row>
    <row r="214" spans="4:15" s="112" customFormat="1" ht="12.75">
      <c r="D214" s="387"/>
      <c r="E214" s="206"/>
      <c r="F214" s="387"/>
      <c r="G214" s="206"/>
      <c r="H214" s="388"/>
      <c r="K214" s="410"/>
      <c r="L214" s="410"/>
      <c r="M214" s="411"/>
      <c r="O214" s="388"/>
    </row>
    <row r="215" spans="4:15" s="112" customFormat="1" ht="12.75">
      <c r="D215" s="387"/>
      <c r="E215" s="206"/>
      <c r="F215" s="387"/>
      <c r="G215" s="206"/>
      <c r="H215" s="388"/>
      <c r="K215" s="410"/>
      <c r="L215" s="410"/>
      <c r="M215" s="411"/>
      <c r="O215" s="388"/>
    </row>
    <row r="216" spans="4:15" s="112" customFormat="1" ht="12.75">
      <c r="D216" s="387"/>
      <c r="E216" s="206"/>
      <c r="F216" s="387"/>
      <c r="G216" s="206"/>
      <c r="H216" s="388"/>
      <c r="K216" s="410"/>
      <c r="L216" s="410"/>
      <c r="M216" s="411"/>
      <c r="O216" s="388"/>
    </row>
    <row r="217" spans="4:15" s="112" customFormat="1" ht="12.75">
      <c r="D217" s="387"/>
      <c r="E217" s="206"/>
      <c r="F217" s="387"/>
      <c r="G217" s="206"/>
      <c r="H217" s="388"/>
      <c r="K217" s="410"/>
      <c r="L217" s="410"/>
      <c r="M217" s="411"/>
      <c r="O217" s="388"/>
    </row>
    <row r="218" spans="4:15" s="112" customFormat="1" ht="12.75">
      <c r="D218" s="387"/>
      <c r="E218" s="206"/>
      <c r="F218" s="387"/>
      <c r="G218" s="206"/>
      <c r="H218" s="388"/>
      <c r="K218" s="410"/>
      <c r="L218" s="410"/>
      <c r="M218" s="411"/>
      <c r="O218" s="388"/>
    </row>
    <row r="219" spans="4:15" s="112" customFormat="1" ht="12.75">
      <c r="D219" s="387"/>
      <c r="E219" s="206"/>
      <c r="F219" s="387"/>
      <c r="G219" s="206"/>
      <c r="H219" s="388"/>
      <c r="K219" s="410"/>
      <c r="L219" s="410"/>
      <c r="M219" s="411"/>
      <c r="O219" s="388"/>
    </row>
    <row r="220" spans="4:15" s="112" customFormat="1" ht="12.75">
      <c r="D220" s="387"/>
      <c r="E220" s="206"/>
      <c r="F220" s="387"/>
      <c r="G220" s="206"/>
      <c r="H220" s="388"/>
      <c r="K220" s="410"/>
      <c r="L220" s="410"/>
      <c r="M220" s="411"/>
      <c r="O220" s="388"/>
    </row>
    <row r="221" spans="4:15" s="112" customFormat="1" ht="12.75">
      <c r="D221" s="387"/>
      <c r="E221" s="206"/>
      <c r="F221" s="387"/>
      <c r="G221" s="206"/>
      <c r="H221" s="388"/>
      <c r="K221" s="410"/>
      <c r="L221" s="410"/>
      <c r="M221" s="411"/>
      <c r="O221" s="388"/>
    </row>
    <row r="222" spans="4:15" s="112" customFormat="1" ht="12.75">
      <c r="D222" s="387"/>
      <c r="E222" s="206"/>
      <c r="F222" s="387"/>
      <c r="G222" s="206"/>
      <c r="H222" s="388"/>
      <c r="K222" s="410"/>
      <c r="L222" s="410"/>
      <c r="M222" s="411"/>
      <c r="O222" s="388"/>
    </row>
    <row r="223" spans="4:15" s="112" customFormat="1" ht="12.75">
      <c r="D223" s="387"/>
      <c r="E223" s="206"/>
      <c r="F223" s="387"/>
      <c r="G223" s="206"/>
      <c r="H223" s="388"/>
      <c r="K223" s="410"/>
      <c r="L223" s="410"/>
      <c r="M223" s="411"/>
      <c r="O223" s="388"/>
    </row>
    <row r="224" spans="4:15" s="112" customFormat="1" ht="12.75">
      <c r="D224" s="387"/>
      <c r="E224" s="206"/>
      <c r="F224" s="387"/>
      <c r="G224" s="206"/>
      <c r="H224" s="388"/>
      <c r="K224" s="410"/>
      <c r="L224" s="410"/>
      <c r="M224" s="411"/>
      <c r="O224" s="388"/>
    </row>
    <row r="225" spans="4:15" s="112" customFormat="1" ht="12.75">
      <c r="D225" s="387"/>
      <c r="E225" s="206"/>
      <c r="F225" s="387"/>
      <c r="G225" s="206"/>
      <c r="H225" s="388"/>
      <c r="K225" s="410"/>
      <c r="L225" s="410"/>
      <c r="M225" s="411"/>
      <c r="O225" s="388"/>
    </row>
    <row r="226" spans="4:15" s="112" customFormat="1" ht="12.75">
      <c r="D226" s="387"/>
      <c r="E226" s="206"/>
      <c r="F226" s="387"/>
      <c r="G226" s="206"/>
      <c r="H226" s="388"/>
      <c r="K226" s="410"/>
      <c r="L226" s="410"/>
      <c r="M226" s="411"/>
      <c r="O226" s="388"/>
    </row>
    <row r="227" spans="4:15" s="112" customFormat="1" ht="12.75">
      <c r="D227" s="387"/>
      <c r="E227" s="206"/>
      <c r="F227" s="387"/>
      <c r="G227" s="206"/>
      <c r="H227" s="388"/>
      <c r="K227" s="410"/>
      <c r="L227" s="410"/>
      <c r="M227" s="411"/>
      <c r="O227" s="388"/>
    </row>
    <row r="228" spans="4:15" s="112" customFormat="1" ht="12.75">
      <c r="D228" s="387"/>
      <c r="E228" s="206"/>
      <c r="F228" s="387"/>
      <c r="G228" s="206"/>
      <c r="H228" s="388"/>
      <c r="K228" s="410"/>
      <c r="L228" s="410"/>
      <c r="M228" s="411"/>
      <c r="O228" s="388"/>
    </row>
    <row r="229" spans="4:15" s="112" customFormat="1" ht="12.75">
      <c r="D229" s="387"/>
      <c r="E229" s="206"/>
      <c r="F229" s="387"/>
      <c r="G229" s="206"/>
      <c r="H229" s="388"/>
      <c r="K229" s="410"/>
      <c r="L229" s="410"/>
      <c r="M229" s="411"/>
      <c r="O229" s="388"/>
    </row>
    <row r="230" spans="4:15" s="112" customFormat="1" ht="12.75">
      <c r="D230" s="387"/>
      <c r="E230" s="206"/>
      <c r="F230" s="387"/>
      <c r="G230" s="206"/>
      <c r="H230" s="388"/>
      <c r="K230" s="410"/>
      <c r="L230" s="410"/>
      <c r="M230" s="411"/>
      <c r="O230" s="388"/>
    </row>
    <row r="231" spans="4:15" s="112" customFormat="1" ht="12.75">
      <c r="D231" s="387"/>
      <c r="E231" s="206"/>
      <c r="F231" s="387"/>
      <c r="G231" s="206"/>
      <c r="H231" s="388"/>
      <c r="K231" s="410"/>
      <c r="L231" s="410"/>
      <c r="M231" s="411"/>
      <c r="O231" s="388"/>
    </row>
    <row r="232" spans="4:15" s="112" customFormat="1" ht="12.75">
      <c r="D232" s="387"/>
      <c r="E232" s="206"/>
      <c r="F232" s="387"/>
      <c r="G232" s="206"/>
      <c r="H232" s="388"/>
      <c r="K232" s="410"/>
      <c r="L232" s="410"/>
      <c r="M232" s="411"/>
      <c r="O232" s="388"/>
    </row>
    <row r="233" spans="4:15" s="112" customFormat="1" ht="12.75">
      <c r="D233" s="387"/>
      <c r="E233" s="206"/>
      <c r="F233" s="387"/>
      <c r="G233" s="206"/>
      <c r="H233" s="388"/>
      <c r="K233" s="410"/>
      <c r="L233" s="410"/>
      <c r="M233" s="411"/>
      <c r="O233" s="388"/>
    </row>
    <row r="234" spans="4:15" s="112" customFormat="1" ht="12.75">
      <c r="D234" s="387"/>
      <c r="E234" s="206"/>
      <c r="F234" s="387"/>
      <c r="G234" s="206"/>
      <c r="H234" s="388"/>
      <c r="K234" s="410"/>
      <c r="L234" s="410"/>
      <c r="M234" s="411"/>
      <c r="O234" s="388"/>
    </row>
    <row r="235" spans="4:15" s="112" customFormat="1" ht="12.75">
      <c r="D235" s="387"/>
      <c r="E235" s="206"/>
      <c r="F235" s="387"/>
      <c r="G235" s="206"/>
      <c r="H235" s="388"/>
      <c r="K235" s="410"/>
      <c r="L235" s="410"/>
      <c r="M235" s="411"/>
      <c r="O235" s="388"/>
    </row>
    <row r="236" spans="4:15" s="112" customFormat="1" ht="12.75">
      <c r="D236" s="387"/>
      <c r="E236" s="206"/>
      <c r="F236" s="387"/>
      <c r="G236" s="206"/>
      <c r="H236" s="388"/>
      <c r="K236" s="410"/>
      <c r="L236" s="410"/>
      <c r="M236" s="411"/>
      <c r="O236" s="388"/>
    </row>
    <row r="237" spans="4:15" s="112" customFormat="1" ht="12.75">
      <c r="D237" s="387"/>
      <c r="E237" s="206"/>
      <c r="F237" s="387"/>
      <c r="G237" s="206"/>
      <c r="H237" s="388"/>
      <c r="K237" s="410"/>
      <c r="L237" s="410"/>
      <c r="M237" s="411"/>
      <c r="O237" s="388"/>
    </row>
    <row r="238" spans="4:15" s="112" customFormat="1" ht="12.75">
      <c r="D238" s="387"/>
      <c r="E238" s="206"/>
      <c r="F238" s="387"/>
      <c r="G238" s="206"/>
      <c r="H238" s="388"/>
      <c r="K238" s="410"/>
      <c r="L238" s="410"/>
      <c r="M238" s="411"/>
      <c r="O238" s="388"/>
    </row>
    <row r="239" spans="4:15" s="112" customFormat="1" ht="12.75">
      <c r="D239" s="387"/>
      <c r="E239" s="206"/>
      <c r="F239" s="387"/>
      <c r="G239" s="206"/>
      <c r="H239" s="388"/>
      <c r="K239" s="410"/>
      <c r="L239" s="410"/>
      <c r="M239" s="411"/>
      <c r="O239" s="388"/>
    </row>
    <row r="240" spans="4:15" s="112" customFormat="1" ht="12.75">
      <c r="D240" s="387"/>
      <c r="E240" s="206"/>
      <c r="F240" s="387"/>
      <c r="G240" s="206"/>
      <c r="H240" s="388"/>
      <c r="K240" s="410"/>
      <c r="L240" s="410"/>
      <c r="M240" s="411"/>
      <c r="O240" s="388"/>
    </row>
    <row r="241" spans="4:15" s="112" customFormat="1" ht="12.75">
      <c r="D241" s="387"/>
      <c r="E241" s="206"/>
      <c r="F241" s="387"/>
      <c r="G241" s="206"/>
      <c r="H241" s="388"/>
      <c r="K241" s="410"/>
      <c r="L241" s="410"/>
      <c r="M241" s="411"/>
      <c r="O241" s="388"/>
    </row>
    <row r="242" spans="4:15" s="112" customFormat="1" ht="12.75">
      <c r="D242" s="387"/>
      <c r="E242" s="206"/>
      <c r="F242" s="387"/>
      <c r="G242" s="206"/>
      <c r="H242" s="388"/>
      <c r="K242" s="410"/>
      <c r="L242" s="410"/>
      <c r="M242" s="411"/>
      <c r="O242" s="388"/>
    </row>
    <row r="243" spans="4:15" s="112" customFormat="1" ht="12.75">
      <c r="D243" s="387"/>
      <c r="E243" s="206"/>
      <c r="F243" s="387"/>
      <c r="G243" s="206"/>
      <c r="H243" s="388"/>
      <c r="K243" s="410"/>
      <c r="L243" s="410"/>
      <c r="M243" s="411"/>
      <c r="O243" s="388"/>
    </row>
    <row r="244" spans="4:15" s="112" customFormat="1" ht="12.75">
      <c r="D244" s="387"/>
      <c r="E244" s="206"/>
      <c r="F244" s="387"/>
      <c r="G244" s="206"/>
      <c r="H244" s="388"/>
      <c r="K244" s="410"/>
      <c r="L244" s="410"/>
      <c r="M244" s="411"/>
      <c r="O244" s="388"/>
    </row>
    <row r="245" spans="4:15" s="112" customFormat="1" ht="12.75">
      <c r="D245" s="387"/>
      <c r="E245" s="206"/>
      <c r="F245" s="387"/>
      <c r="G245" s="206"/>
      <c r="H245" s="388"/>
      <c r="K245" s="410"/>
      <c r="L245" s="410"/>
      <c r="M245" s="411"/>
      <c r="O245" s="388"/>
    </row>
    <row r="246" spans="4:15" s="112" customFormat="1" ht="12.75">
      <c r="D246" s="387"/>
      <c r="E246" s="206"/>
      <c r="F246" s="387"/>
      <c r="G246" s="206"/>
      <c r="H246" s="388"/>
      <c r="K246" s="410"/>
      <c r="L246" s="410"/>
      <c r="M246" s="411"/>
      <c r="O246" s="388"/>
    </row>
    <row r="247" spans="4:15" s="112" customFormat="1" ht="12.75">
      <c r="D247" s="387"/>
      <c r="E247" s="206"/>
      <c r="F247" s="387"/>
      <c r="G247" s="206"/>
      <c r="H247" s="388"/>
      <c r="K247" s="410"/>
      <c r="L247" s="410"/>
      <c r="M247" s="411"/>
      <c r="O247" s="388"/>
    </row>
    <row r="248" spans="4:15" s="112" customFormat="1" ht="12.75">
      <c r="D248" s="387"/>
      <c r="E248" s="206"/>
      <c r="F248" s="387"/>
      <c r="G248" s="206"/>
      <c r="H248" s="388"/>
      <c r="K248" s="410"/>
      <c r="L248" s="410"/>
      <c r="M248" s="411"/>
      <c r="O248" s="388"/>
    </row>
    <row r="249" spans="4:15" s="112" customFormat="1" ht="12.75">
      <c r="D249" s="387"/>
      <c r="E249" s="206"/>
      <c r="F249" s="387"/>
      <c r="G249" s="206"/>
      <c r="H249" s="388"/>
      <c r="K249" s="410"/>
      <c r="L249" s="410"/>
      <c r="M249" s="411"/>
      <c r="O249" s="388"/>
    </row>
    <row r="250" spans="4:15" s="112" customFormat="1" ht="12.75">
      <c r="D250" s="387"/>
      <c r="E250" s="206"/>
      <c r="F250" s="387"/>
      <c r="G250" s="206"/>
      <c r="H250" s="388"/>
      <c r="K250" s="410"/>
      <c r="L250" s="410"/>
      <c r="M250" s="411"/>
      <c r="O250" s="388"/>
    </row>
    <row r="251" spans="4:15" s="112" customFormat="1" ht="12.75">
      <c r="D251" s="387"/>
      <c r="E251" s="206"/>
      <c r="F251" s="387"/>
      <c r="G251" s="206"/>
      <c r="H251" s="388"/>
      <c r="K251" s="410"/>
      <c r="L251" s="410"/>
      <c r="M251" s="411"/>
      <c r="O251" s="388"/>
    </row>
    <row r="252" spans="4:15" s="112" customFormat="1" ht="12.75">
      <c r="D252" s="387"/>
      <c r="E252" s="206"/>
      <c r="F252" s="387"/>
      <c r="G252" s="206"/>
      <c r="H252" s="388"/>
      <c r="K252" s="410"/>
      <c r="L252" s="410"/>
      <c r="M252" s="411"/>
      <c r="O252" s="388"/>
    </row>
    <row r="253" spans="4:15" s="112" customFormat="1" ht="12.75">
      <c r="D253" s="387"/>
      <c r="E253" s="206"/>
      <c r="F253" s="387"/>
      <c r="G253" s="206"/>
      <c r="H253" s="388"/>
      <c r="K253" s="410"/>
      <c r="L253" s="410"/>
      <c r="M253" s="411"/>
      <c r="O253" s="388"/>
    </row>
    <row r="254" spans="4:15" s="112" customFormat="1" ht="12.75">
      <c r="D254" s="387"/>
      <c r="E254" s="206"/>
      <c r="F254" s="387"/>
      <c r="G254" s="206"/>
      <c r="H254" s="388"/>
      <c r="K254" s="410"/>
      <c r="L254" s="410"/>
      <c r="M254" s="411"/>
      <c r="O254" s="388"/>
    </row>
    <row r="255" spans="4:15" s="112" customFormat="1" ht="12.75">
      <c r="D255" s="387"/>
      <c r="E255" s="206"/>
      <c r="F255" s="387"/>
      <c r="G255" s="206"/>
      <c r="H255" s="388"/>
      <c r="K255" s="410"/>
      <c r="L255" s="410"/>
      <c r="M255" s="411"/>
      <c r="O255" s="388"/>
    </row>
    <row r="256" spans="4:15" s="112" customFormat="1" ht="12.75">
      <c r="D256" s="387"/>
      <c r="E256" s="206"/>
      <c r="F256" s="387"/>
      <c r="G256" s="206"/>
      <c r="H256" s="388"/>
      <c r="K256" s="410"/>
      <c r="L256" s="410"/>
      <c r="M256" s="411"/>
      <c r="O256" s="388"/>
    </row>
    <row r="257" spans="4:15" s="112" customFormat="1" ht="12.75">
      <c r="D257" s="387"/>
      <c r="E257" s="206"/>
      <c r="F257" s="387"/>
      <c r="G257" s="206"/>
      <c r="H257" s="388"/>
      <c r="K257" s="410"/>
      <c r="L257" s="410"/>
      <c r="M257" s="411"/>
      <c r="O257" s="388"/>
    </row>
    <row r="258" spans="4:15" s="112" customFormat="1" ht="12.75">
      <c r="D258" s="387"/>
      <c r="E258" s="206"/>
      <c r="F258" s="387"/>
      <c r="G258" s="206"/>
      <c r="H258" s="388"/>
      <c r="K258" s="410"/>
      <c r="L258" s="410"/>
      <c r="M258" s="411"/>
      <c r="O258" s="388"/>
    </row>
    <row r="259" spans="4:15" s="112" customFormat="1" ht="12.75">
      <c r="D259" s="387"/>
      <c r="E259" s="206"/>
      <c r="F259" s="387"/>
      <c r="G259" s="206"/>
      <c r="H259" s="388"/>
      <c r="K259" s="410"/>
      <c r="L259" s="410"/>
      <c r="M259" s="411"/>
      <c r="O259" s="388"/>
    </row>
    <row r="260" spans="4:15" s="112" customFormat="1" ht="12.75">
      <c r="D260" s="387"/>
      <c r="E260" s="206"/>
      <c r="F260" s="387"/>
      <c r="G260" s="206"/>
      <c r="H260" s="388"/>
      <c r="K260" s="410"/>
      <c r="L260" s="410"/>
      <c r="M260" s="411"/>
      <c r="O260" s="388"/>
    </row>
    <row r="261" spans="4:15" s="112" customFormat="1" ht="12.75">
      <c r="D261" s="387"/>
      <c r="E261" s="206"/>
      <c r="F261" s="387"/>
      <c r="G261" s="206"/>
      <c r="H261" s="388"/>
      <c r="K261" s="410"/>
      <c r="L261" s="410"/>
      <c r="M261" s="411"/>
      <c r="O261" s="388"/>
    </row>
    <row r="262" spans="4:15" s="112" customFormat="1" ht="12.75">
      <c r="D262" s="387"/>
      <c r="E262" s="206"/>
      <c r="F262" s="387"/>
      <c r="G262" s="206"/>
      <c r="H262" s="388"/>
      <c r="K262" s="410"/>
      <c r="L262" s="410"/>
      <c r="M262" s="411"/>
      <c r="O262" s="388"/>
    </row>
    <row r="263" spans="4:15" s="112" customFormat="1" ht="12.75">
      <c r="D263" s="387"/>
      <c r="E263" s="206"/>
      <c r="F263" s="387"/>
      <c r="G263" s="206"/>
      <c r="H263" s="388"/>
      <c r="K263" s="410"/>
      <c r="L263" s="410"/>
      <c r="M263" s="411"/>
      <c r="O263" s="388"/>
    </row>
    <row r="264" spans="4:15" s="112" customFormat="1" ht="12.75">
      <c r="D264" s="387"/>
      <c r="E264" s="206"/>
      <c r="F264" s="387"/>
      <c r="G264" s="206"/>
      <c r="H264" s="388"/>
      <c r="K264" s="410"/>
      <c r="L264" s="410"/>
      <c r="M264" s="411"/>
      <c r="O264" s="388"/>
    </row>
    <row r="265" spans="4:15" s="112" customFormat="1" ht="12.75">
      <c r="D265" s="387"/>
      <c r="E265" s="206"/>
      <c r="F265" s="387"/>
      <c r="G265" s="206"/>
      <c r="H265" s="388"/>
      <c r="K265" s="410"/>
      <c r="L265" s="410"/>
      <c r="M265" s="411"/>
      <c r="O265" s="388"/>
    </row>
    <row r="266" spans="4:15" s="112" customFormat="1" ht="12.75">
      <c r="D266" s="387"/>
      <c r="E266" s="206"/>
      <c r="F266" s="387"/>
      <c r="G266" s="206"/>
      <c r="H266" s="388"/>
      <c r="K266" s="410"/>
      <c r="L266" s="410"/>
      <c r="M266" s="411"/>
      <c r="O266" s="388"/>
    </row>
    <row r="267" spans="4:15" s="112" customFormat="1" ht="12.75">
      <c r="D267" s="387"/>
      <c r="E267" s="206"/>
      <c r="F267" s="387"/>
      <c r="G267" s="206"/>
      <c r="H267" s="388"/>
      <c r="K267" s="410"/>
      <c r="L267" s="410"/>
      <c r="M267" s="411"/>
      <c r="O267" s="388"/>
    </row>
    <row r="268" spans="4:15" s="112" customFormat="1" ht="12.75">
      <c r="D268" s="387"/>
      <c r="E268" s="206"/>
      <c r="F268" s="387"/>
      <c r="G268" s="206"/>
      <c r="H268" s="388"/>
      <c r="K268" s="410"/>
      <c r="L268" s="410"/>
      <c r="M268" s="411"/>
      <c r="O268" s="388"/>
    </row>
    <row r="269" spans="4:15" s="112" customFormat="1" ht="12.75">
      <c r="D269" s="387"/>
      <c r="E269" s="206"/>
      <c r="F269" s="387"/>
      <c r="G269" s="206"/>
      <c r="H269" s="388"/>
      <c r="K269" s="410"/>
      <c r="L269" s="410"/>
      <c r="M269" s="411"/>
      <c r="O269" s="388"/>
    </row>
    <row r="270" spans="4:15" s="112" customFormat="1" ht="12.75">
      <c r="D270" s="387"/>
      <c r="E270" s="206"/>
      <c r="F270" s="387"/>
      <c r="G270" s="206"/>
      <c r="H270" s="388"/>
      <c r="K270" s="410"/>
      <c r="L270" s="410"/>
      <c r="M270" s="411"/>
      <c r="O270" s="388"/>
    </row>
    <row r="271" spans="4:15" s="112" customFormat="1" ht="12.75">
      <c r="D271" s="387"/>
      <c r="E271" s="206"/>
      <c r="F271" s="387"/>
      <c r="G271" s="206"/>
      <c r="H271" s="388"/>
      <c r="K271" s="410"/>
      <c r="L271" s="410"/>
      <c r="M271" s="411"/>
      <c r="O271" s="388"/>
    </row>
    <row r="272" spans="4:15" s="112" customFormat="1" ht="12.75">
      <c r="D272" s="387"/>
      <c r="E272" s="206"/>
      <c r="F272" s="387"/>
      <c r="G272" s="206"/>
      <c r="H272" s="388"/>
      <c r="K272" s="410"/>
      <c r="L272" s="410"/>
      <c r="M272" s="411"/>
      <c r="O272" s="388"/>
    </row>
    <row r="273" spans="4:15" s="112" customFormat="1" ht="12.75">
      <c r="D273" s="387"/>
      <c r="E273" s="206"/>
      <c r="F273" s="387"/>
      <c r="G273" s="206"/>
      <c r="H273" s="388"/>
      <c r="K273" s="410"/>
      <c r="L273" s="410"/>
      <c r="M273" s="411"/>
      <c r="O273" s="388"/>
    </row>
    <row r="274" spans="4:15" s="112" customFormat="1" ht="12.75">
      <c r="D274" s="387"/>
      <c r="E274" s="206"/>
      <c r="F274" s="387"/>
      <c r="G274" s="206"/>
      <c r="H274" s="388"/>
      <c r="K274" s="410"/>
      <c r="L274" s="410"/>
      <c r="M274" s="411"/>
      <c r="O274" s="388"/>
    </row>
    <row r="275" spans="4:15" s="112" customFormat="1" ht="12.75">
      <c r="D275" s="387"/>
      <c r="E275" s="206"/>
      <c r="F275" s="387"/>
      <c r="G275" s="206"/>
      <c r="H275" s="388"/>
      <c r="K275" s="410"/>
      <c r="L275" s="410"/>
      <c r="M275" s="411"/>
      <c r="O275" s="388"/>
    </row>
    <row r="276" spans="4:15" s="112" customFormat="1" ht="12.75">
      <c r="D276" s="387"/>
      <c r="E276" s="206"/>
      <c r="F276" s="387"/>
      <c r="G276" s="206"/>
      <c r="H276" s="388"/>
      <c r="K276" s="410"/>
      <c r="L276" s="410"/>
      <c r="M276" s="411"/>
      <c r="O276" s="388"/>
    </row>
    <row r="277" spans="4:15" s="112" customFormat="1" ht="12.75">
      <c r="D277" s="387"/>
      <c r="E277" s="206"/>
      <c r="F277" s="387"/>
      <c r="G277" s="206"/>
      <c r="H277" s="388"/>
      <c r="K277" s="410"/>
      <c r="L277" s="410"/>
      <c r="M277" s="411"/>
      <c r="O277" s="388"/>
    </row>
    <row r="278" spans="4:15" s="112" customFormat="1" ht="12.75">
      <c r="D278" s="387"/>
      <c r="E278" s="206"/>
      <c r="F278" s="387"/>
      <c r="G278" s="206"/>
      <c r="H278" s="388"/>
      <c r="K278" s="410"/>
      <c r="L278" s="410"/>
      <c r="M278" s="411"/>
      <c r="O278" s="388"/>
    </row>
    <row r="279" spans="4:15" s="112" customFormat="1" ht="12.75">
      <c r="D279" s="387"/>
      <c r="E279" s="206"/>
      <c r="F279" s="387"/>
      <c r="G279" s="206"/>
      <c r="H279" s="388"/>
      <c r="K279" s="410"/>
      <c r="L279" s="410"/>
      <c r="M279" s="411"/>
      <c r="O279" s="388"/>
    </row>
    <row r="280" spans="4:15" s="112" customFormat="1" ht="12.75">
      <c r="D280" s="387"/>
      <c r="E280" s="206"/>
      <c r="F280" s="387"/>
      <c r="G280" s="206"/>
      <c r="H280" s="388"/>
      <c r="K280" s="410"/>
      <c r="L280" s="410"/>
      <c r="M280" s="411"/>
      <c r="O280" s="388"/>
    </row>
    <row r="281" spans="4:15" s="112" customFormat="1" ht="12.75">
      <c r="D281" s="387"/>
      <c r="E281" s="206"/>
      <c r="F281" s="387"/>
      <c r="G281" s="206"/>
      <c r="H281" s="388"/>
      <c r="K281" s="410"/>
      <c r="L281" s="410"/>
      <c r="M281" s="411"/>
      <c r="O281" s="388"/>
    </row>
    <row r="282" spans="4:15" s="112" customFormat="1" ht="12.75">
      <c r="D282" s="387"/>
      <c r="E282" s="206"/>
      <c r="F282" s="387"/>
      <c r="G282" s="206"/>
      <c r="H282" s="388"/>
      <c r="K282" s="410"/>
      <c r="L282" s="410"/>
      <c r="M282" s="411"/>
      <c r="O282" s="388"/>
    </row>
    <row r="283" spans="4:15" s="112" customFormat="1" ht="12.75">
      <c r="D283" s="387"/>
      <c r="E283" s="206"/>
      <c r="F283" s="387"/>
      <c r="G283" s="206"/>
      <c r="H283" s="388"/>
      <c r="K283" s="410"/>
      <c r="L283" s="410"/>
      <c r="M283" s="411"/>
      <c r="O283" s="388"/>
    </row>
    <row r="284" spans="4:15" s="112" customFormat="1" ht="12.75">
      <c r="D284" s="387"/>
      <c r="E284" s="206"/>
      <c r="F284" s="387"/>
      <c r="G284" s="206"/>
      <c r="H284" s="388"/>
      <c r="K284" s="410"/>
      <c r="L284" s="410"/>
      <c r="M284" s="411"/>
      <c r="O284" s="388"/>
    </row>
    <row r="285" spans="4:15" s="112" customFormat="1" ht="12.75">
      <c r="D285" s="387"/>
      <c r="E285" s="206"/>
      <c r="F285" s="387"/>
      <c r="G285" s="206"/>
      <c r="H285" s="388"/>
      <c r="K285" s="410"/>
      <c r="L285" s="410"/>
      <c r="M285" s="411"/>
      <c r="O285" s="388"/>
    </row>
    <row r="286" spans="4:15" s="112" customFormat="1" ht="12.75">
      <c r="D286" s="387"/>
      <c r="E286" s="206"/>
      <c r="F286" s="387"/>
      <c r="G286" s="206"/>
      <c r="H286" s="388"/>
      <c r="K286" s="410"/>
      <c r="L286" s="410"/>
      <c r="M286" s="411"/>
      <c r="O286" s="388"/>
    </row>
    <row r="287" spans="4:15" s="112" customFormat="1" ht="12.75">
      <c r="D287" s="387"/>
      <c r="E287" s="206"/>
      <c r="F287" s="387"/>
      <c r="G287" s="206"/>
      <c r="H287" s="388"/>
      <c r="K287" s="410"/>
      <c r="L287" s="410"/>
      <c r="M287" s="411"/>
      <c r="O287" s="388"/>
    </row>
    <row r="288" spans="4:15" s="112" customFormat="1" ht="12.75">
      <c r="D288" s="387"/>
      <c r="E288" s="206"/>
      <c r="F288" s="387"/>
      <c r="G288" s="206"/>
      <c r="H288" s="388"/>
      <c r="K288" s="410"/>
      <c r="L288" s="410"/>
      <c r="M288" s="411"/>
      <c r="O288" s="388"/>
    </row>
    <row r="289" spans="4:15" s="112" customFormat="1" ht="12.75">
      <c r="D289" s="387"/>
      <c r="E289" s="206"/>
      <c r="F289" s="387"/>
      <c r="G289" s="206"/>
      <c r="H289" s="388"/>
      <c r="K289" s="410"/>
      <c r="L289" s="410"/>
      <c r="M289" s="411"/>
      <c r="O289" s="388"/>
    </row>
    <row r="290" spans="4:15" s="112" customFormat="1" ht="12.75">
      <c r="D290" s="387"/>
      <c r="E290" s="206"/>
      <c r="F290" s="387"/>
      <c r="G290" s="206"/>
      <c r="H290" s="388"/>
      <c r="K290" s="410"/>
      <c r="L290" s="410"/>
      <c r="M290" s="411"/>
      <c r="O290" s="388"/>
    </row>
    <row r="291" spans="4:15" s="112" customFormat="1" ht="12.75">
      <c r="D291" s="387"/>
      <c r="E291" s="206"/>
      <c r="F291" s="387"/>
      <c r="G291" s="206"/>
      <c r="H291" s="388"/>
      <c r="K291" s="410"/>
      <c r="L291" s="410"/>
      <c r="M291" s="411"/>
      <c r="O291" s="388"/>
    </row>
    <row r="292" spans="4:15" s="112" customFormat="1" ht="12.75">
      <c r="D292" s="387"/>
      <c r="E292" s="206"/>
      <c r="F292" s="387"/>
      <c r="G292" s="206"/>
      <c r="H292" s="388"/>
      <c r="K292" s="410"/>
      <c r="L292" s="410"/>
      <c r="M292" s="411"/>
      <c r="O292" s="388"/>
    </row>
    <row r="293" spans="4:15" s="112" customFormat="1" ht="12.75">
      <c r="D293" s="387"/>
      <c r="E293" s="206"/>
      <c r="F293" s="387"/>
      <c r="G293" s="206"/>
      <c r="H293" s="388"/>
      <c r="K293" s="410"/>
      <c r="L293" s="410"/>
      <c r="M293" s="411"/>
      <c r="O293" s="388"/>
    </row>
    <row r="294" spans="4:15" s="112" customFormat="1" ht="12.75">
      <c r="D294" s="387"/>
      <c r="E294" s="206"/>
      <c r="F294" s="387"/>
      <c r="G294" s="206"/>
      <c r="H294" s="388"/>
      <c r="K294" s="410"/>
      <c r="L294" s="410"/>
      <c r="M294" s="411"/>
      <c r="O294" s="388"/>
    </row>
    <row r="295" spans="4:15" s="112" customFormat="1" ht="12.75">
      <c r="D295" s="387"/>
      <c r="E295" s="206"/>
      <c r="F295" s="387"/>
      <c r="G295" s="206"/>
      <c r="H295" s="388"/>
      <c r="K295" s="410"/>
      <c r="L295" s="410"/>
      <c r="M295" s="411"/>
      <c r="O295" s="388"/>
    </row>
    <row r="296" spans="4:15" s="112" customFormat="1" ht="12.75">
      <c r="D296" s="387"/>
      <c r="E296" s="206"/>
      <c r="F296" s="387"/>
      <c r="G296" s="206"/>
      <c r="H296" s="388"/>
      <c r="K296" s="410"/>
      <c r="L296" s="410"/>
      <c r="M296" s="411"/>
      <c r="O296" s="388"/>
    </row>
    <row r="297" spans="4:15" s="112" customFormat="1" ht="12.75">
      <c r="D297" s="387"/>
      <c r="E297" s="206"/>
      <c r="F297" s="387"/>
      <c r="G297" s="206"/>
      <c r="H297" s="388"/>
      <c r="K297" s="410"/>
      <c r="L297" s="410"/>
      <c r="M297" s="411"/>
      <c r="O297" s="388"/>
    </row>
    <row r="298" spans="4:15" s="112" customFormat="1" ht="12.75">
      <c r="D298" s="387"/>
      <c r="E298" s="206"/>
      <c r="F298" s="387"/>
      <c r="G298" s="206"/>
      <c r="H298" s="388"/>
      <c r="K298" s="410"/>
      <c r="L298" s="410"/>
      <c r="M298" s="411"/>
      <c r="O298" s="388"/>
    </row>
    <row r="299" spans="4:15" s="112" customFormat="1" ht="12.75">
      <c r="D299" s="387"/>
      <c r="E299" s="206"/>
      <c r="F299" s="387"/>
      <c r="G299" s="206"/>
      <c r="H299" s="388"/>
      <c r="K299" s="410"/>
      <c r="L299" s="410"/>
      <c r="M299" s="411"/>
      <c r="O299" s="388"/>
    </row>
    <row r="300" spans="4:15" s="112" customFormat="1" ht="12.75">
      <c r="D300" s="387"/>
      <c r="E300" s="206"/>
      <c r="F300" s="387"/>
      <c r="G300" s="206"/>
      <c r="H300" s="388"/>
      <c r="K300" s="410"/>
      <c r="L300" s="410"/>
      <c r="M300" s="411"/>
      <c r="O300" s="388"/>
    </row>
    <row r="301" spans="4:15" s="112" customFormat="1" ht="12.75">
      <c r="D301" s="387"/>
      <c r="E301" s="206"/>
      <c r="F301" s="387"/>
      <c r="G301" s="206"/>
      <c r="H301" s="388"/>
      <c r="K301" s="410"/>
      <c r="L301" s="410"/>
      <c r="M301" s="411"/>
      <c r="O301" s="388"/>
    </row>
    <row r="302" spans="4:15" s="112" customFormat="1" ht="12.75">
      <c r="D302" s="387"/>
      <c r="E302" s="206"/>
      <c r="F302" s="387"/>
      <c r="G302" s="206"/>
      <c r="H302" s="388"/>
      <c r="K302" s="410"/>
      <c r="L302" s="410"/>
      <c r="M302" s="411"/>
      <c r="O302" s="388"/>
    </row>
    <row r="303" spans="4:15" s="112" customFormat="1" ht="12.75">
      <c r="D303" s="387"/>
      <c r="E303" s="206"/>
      <c r="F303" s="387"/>
      <c r="G303" s="206"/>
      <c r="H303" s="388"/>
      <c r="K303" s="410"/>
      <c r="L303" s="410"/>
      <c r="M303" s="411"/>
      <c r="O303" s="388"/>
    </row>
    <row r="304" spans="4:15" s="112" customFormat="1" ht="12.75">
      <c r="D304" s="387"/>
      <c r="E304" s="206"/>
      <c r="F304" s="387"/>
      <c r="G304" s="206"/>
      <c r="H304" s="388"/>
      <c r="K304" s="410"/>
      <c r="L304" s="410"/>
      <c r="M304" s="411"/>
      <c r="O304" s="388"/>
    </row>
    <row r="305" spans="4:15" s="112" customFormat="1" ht="12.75">
      <c r="D305" s="387"/>
      <c r="E305" s="206"/>
      <c r="F305" s="387"/>
      <c r="G305" s="206"/>
      <c r="H305" s="388"/>
      <c r="K305" s="410"/>
      <c r="L305" s="410"/>
      <c r="M305" s="411"/>
      <c r="O305" s="388"/>
    </row>
    <row r="306" spans="4:15" s="112" customFormat="1" ht="12.75">
      <c r="D306" s="387"/>
      <c r="E306" s="206"/>
      <c r="F306" s="387"/>
      <c r="G306" s="206"/>
      <c r="H306" s="388"/>
      <c r="K306" s="410"/>
      <c r="L306" s="410"/>
      <c r="M306" s="411"/>
      <c r="O306" s="388"/>
    </row>
    <row r="307" spans="4:15" s="112" customFormat="1" ht="12.75">
      <c r="D307" s="387"/>
      <c r="E307" s="206"/>
      <c r="F307" s="387"/>
      <c r="G307" s="206"/>
      <c r="H307" s="388"/>
      <c r="K307" s="410"/>
      <c r="L307" s="410"/>
      <c r="M307" s="411"/>
      <c r="O307" s="388"/>
    </row>
    <row r="308" spans="4:15" s="112" customFormat="1" ht="12.75">
      <c r="D308" s="387"/>
      <c r="E308" s="206"/>
      <c r="F308" s="387"/>
      <c r="G308" s="206"/>
      <c r="H308" s="388"/>
      <c r="K308" s="410"/>
      <c r="L308" s="410"/>
      <c r="M308" s="411"/>
      <c r="O308" s="388"/>
    </row>
    <row r="309" spans="4:15" s="112" customFormat="1" ht="12.75">
      <c r="D309" s="387"/>
      <c r="E309" s="206"/>
      <c r="F309" s="387"/>
      <c r="G309" s="206"/>
      <c r="H309" s="388"/>
      <c r="K309" s="410"/>
      <c r="L309" s="410"/>
      <c r="M309" s="411"/>
      <c r="O309" s="388"/>
    </row>
    <row r="310" spans="4:15" s="112" customFormat="1" ht="12.75">
      <c r="D310" s="387"/>
      <c r="E310" s="206"/>
      <c r="F310" s="387"/>
      <c r="G310" s="206"/>
      <c r="H310" s="388"/>
      <c r="K310" s="410"/>
      <c r="L310" s="410"/>
      <c r="M310" s="411"/>
      <c r="O310" s="388"/>
    </row>
    <row r="311" spans="4:15" s="112" customFormat="1" ht="12.75">
      <c r="D311" s="387"/>
      <c r="E311" s="206"/>
      <c r="F311" s="387"/>
      <c r="G311" s="206"/>
      <c r="H311" s="388"/>
      <c r="K311" s="410"/>
      <c r="L311" s="410"/>
      <c r="M311" s="411"/>
      <c r="O311" s="388"/>
    </row>
    <row r="312" spans="4:15" s="112" customFormat="1" ht="12.75">
      <c r="D312" s="387"/>
      <c r="E312" s="206"/>
      <c r="F312" s="387"/>
      <c r="G312" s="206"/>
      <c r="H312" s="388"/>
      <c r="K312" s="410"/>
      <c r="L312" s="410"/>
      <c r="M312" s="411"/>
      <c r="O312" s="388"/>
    </row>
    <row r="313" spans="4:15" s="112" customFormat="1" ht="12.75">
      <c r="D313" s="387"/>
      <c r="E313" s="206"/>
      <c r="F313" s="387"/>
      <c r="G313" s="206"/>
      <c r="H313" s="388"/>
      <c r="K313" s="410"/>
      <c r="L313" s="410"/>
      <c r="M313" s="411"/>
      <c r="O313" s="388"/>
    </row>
    <row r="314" spans="4:15" s="112" customFormat="1" ht="12.75">
      <c r="D314" s="387"/>
      <c r="E314" s="206"/>
      <c r="F314" s="387"/>
      <c r="G314" s="206"/>
      <c r="H314" s="388"/>
      <c r="K314" s="410"/>
      <c r="L314" s="410"/>
      <c r="M314" s="411"/>
      <c r="O314" s="388"/>
    </row>
    <row r="315" spans="4:15" s="112" customFormat="1" ht="12.75">
      <c r="D315" s="387"/>
      <c r="E315" s="206"/>
      <c r="F315" s="387"/>
      <c r="G315" s="206"/>
      <c r="H315" s="388"/>
      <c r="K315" s="410"/>
      <c r="L315" s="410"/>
      <c r="M315" s="411"/>
      <c r="O315" s="388"/>
    </row>
    <row r="316" spans="4:15" s="112" customFormat="1" ht="12.75">
      <c r="D316" s="387"/>
      <c r="E316" s="206"/>
      <c r="F316" s="387"/>
      <c r="G316" s="206"/>
      <c r="H316" s="388"/>
      <c r="K316" s="410"/>
      <c r="L316" s="410"/>
      <c r="M316" s="411"/>
      <c r="O316" s="388"/>
    </row>
    <row r="317" spans="4:15" s="112" customFormat="1" ht="12.75">
      <c r="D317" s="387"/>
      <c r="E317" s="206"/>
      <c r="F317" s="387"/>
      <c r="G317" s="206"/>
      <c r="H317" s="388"/>
      <c r="K317" s="410"/>
      <c r="L317" s="410"/>
      <c r="M317" s="411"/>
      <c r="O317" s="388"/>
    </row>
    <row r="318" spans="4:15" s="112" customFormat="1" ht="12.75">
      <c r="D318" s="387"/>
      <c r="E318" s="206"/>
      <c r="F318" s="387"/>
      <c r="G318" s="206"/>
      <c r="H318" s="388"/>
      <c r="K318" s="410"/>
      <c r="L318" s="410"/>
      <c r="M318" s="411"/>
      <c r="O318" s="388"/>
    </row>
    <row r="319" spans="4:15" s="112" customFormat="1" ht="12.75">
      <c r="D319" s="387"/>
      <c r="E319" s="206"/>
      <c r="F319" s="387"/>
      <c r="G319" s="206"/>
      <c r="H319" s="388"/>
      <c r="K319" s="410"/>
      <c r="L319" s="410"/>
      <c r="M319" s="411"/>
      <c r="O319" s="388"/>
    </row>
    <row r="320" spans="4:15" s="112" customFormat="1" ht="12.75">
      <c r="D320" s="387"/>
      <c r="E320" s="206"/>
      <c r="F320" s="387"/>
      <c r="G320" s="206"/>
      <c r="H320" s="388"/>
      <c r="K320" s="410"/>
      <c r="L320" s="410"/>
      <c r="M320" s="411"/>
      <c r="O320" s="388"/>
    </row>
    <row r="321" spans="4:15" s="112" customFormat="1" ht="12.75">
      <c r="D321" s="387"/>
      <c r="E321" s="206"/>
      <c r="F321" s="387"/>
      <c r="G321" s="206"/>
      <c r="H321" s="388"/>
      <c r="K321" s="410"/>
      <c r="L321" s="410"/>
      <c r="M321" s="411"/>
      <c r="O321" s="388"/>
    </row>
    <row r="322" spans="4:15" s="112" customFormat="1" ht="12.75">
      <c r="D322" s="387"/>
      <c r="E322" s="206"/>
      <c r="F322" s="387"/>
      <c r="G322" s="206"/>
      <c r="H322" s="388"/>
      <c r="K322" s="410"/>
      <c r="L322" s="410"/>
      <c r="M322" s="411"/>
      <c r="O322" s="388"/>
    </row>
    <row r="323" spans="4:15" s="112" customFormat="1" ht="12.75">
      <c r="D323" s="387"/>
      <c r="E323" s="206"/>
      <c r="F323" s="387"/>
      <c r="G323" s="206"/>
      <c r="H323" s="388"/>
      <c r="K323" s="410"/>
      <c r="L323" s="410"/>
      <c r="M323" s="411"/>
      <c r="O323" s="388"/>
    </row>
    <row r="324" spans="4:15" s="112" customFormat="1" ht="12.75">
      <c r="D324" s="387"/>
      <c r="E324" s="206"/>
      <c r="F324" s="387"/>
      <c r="G324" s="206"/>
      <c r="H324" s="388"/>
      <c r="K324" s="410"/>
      <c r="L324" s="410"/>
      <c r="M324" s="411"/>
      <c r="O324" s="388"/>
    </row>
    <row r="325" spans="4:15" s="112" customFormat="1" ht="12.75">
      <c r="D325" s="387"/>
      <c r="E325" s="206"/>
      <c r="F325" s="387"/>
      <c r="G325" s="206"/>
      <c r="H325" s="388"/>
      <c r="K325" s="410"/>
      <c r="L325" s="410"/>
      <c r="M325" s="411"/>
      <c r="O325" s="388"/>
    </row>
    <row r="326" spans="4:15" s="112" customFormat="1" ht="12.75">
      <c r="D326" s="387"/>
      <c r="E326" s="206"/>
      <c r="F326" s="387"/>
      <c r="G326" s="206"/>
      <c r="H326" s="388"/>
      <c r="K326" s="410"/>
      <c r="L326" s="410"/>
      <c r="M326" s="411"/>
      <c r="O326" s="388"/>
    </row>
    <row r="327" spans="4:15" s="112" customFormat="1" ht="12.75">
      <c r="D327" s="387"/>
      <c r="E327" s="206"/>
      <c r="F327" s="387"/>
      <c r="G327" s="206"/>
      <c r="H327" s="388"/>
      <c r="K327" s="410"/>
      <c r="L327" s="410"/>
      <c r="M327" s="411"/>
      <c r="O327" s="388"/>
    </row>
    <row r="328" spans="4:15" s="112" customFormat="1" ht="12.75">
      <c r="D328" s="387"/>
      <c r="E328" s="206"/>
      <c r="F328" s="387"/>
      <c r="G328" s="206"/>
      <c r="H328" s="388"/>
      <c r="K328" s="410"/>
      <c r="L328" s="410"/>
      <c r="M328" s="411"/>
      <c r="O328" s="388"/>
    </row>
    <row r="329" spans="4:15" s="112" customFormat="1" ht="12.75">
      <c r="D329" s="387"/>
      <c r="E329" s="206"/>
      <c r="F329" s="387"/>
      <c r="G329" s="206"/>
      <c r="H329" s="388"/>
      <c r="K329" s="410"/>
      <c r="L329" s="410"/>
      <c r="M329" s="411"/>
      <c r="O329" s="388"/>
    </row>
    <row r="330" spans="4:15" s="112" customFormat="1" ht="12.75">
      <c r="D330" s="387"/>
      <c r="E330" s="206"/>
      <c r="F330" s="387"/>
      <c r="G330" s="206"/>
      <c r="H330" s="388"/>
      <c r="K330" s="410"/>
      <c r="L330" s="410"/>
      <c r="M330" s="411"/>
      <c r="O330" s="388"/>
    </row>
    <row r="331" spans="4:15" s="112" customFormat="1" ht="12.75">
      <c r="D331" s="387"/>
      <c r="E331" s="206"/>
      <c r="F331" s="387"/>
      <c r="G331" s="206"/>
      <c r="H331" s="388"/>
      <c r="K331" s="410"/>
      <c r="L331" s="410"/>
      <c r="M331" s="411"/>
      <c r="O331" s="388"/>
    </row>
    <row r="332" spans="4:15" s="112" customFormat="1" ht="12.75">
      <c r="D332" s="387"/>
      <c r="E332" s="206"/>
      <c r="F332" s="387"/>
      <c r="G332" s="206"/>
      <c r="H332" s="388"/>
      <c r="K332" s="410"/>
      <c r="L332" s="410"/>
      <c r="M332" s="411"/>
      <c r="O332" s="388"/>
    </row>
    <row r="333" spans="4:15" s="112" customFormat="1" ht="12.75">
      <c r="D333" s="387"/>
      <c r="E333" s="206"/>
      <c r="F333" s="387"/>
      <c r="G333" s="206"/>
      <c r="H333" s="388"/>
      <c r="K333" s="410"/>
      <c r="L333" s="410"/>
      <c r="M333" s="411"/>
      <c r="O333" s="388"/>
    </row>
    <row r="334" spans="4:15" s="112" customFormat="1" ht="12.75">
      <c r="D334" s="387"/>
      <c r="E334" s="206"/>
      <c r="F334" s="387"/>
      <c r="G334" s="206"/>
      <c r="H334" s="388"/>
      <c r="K334" s="410"/>
      <c r="L334" s="410"/>
      <c r="M334" s="411"/>
      <c r="O334" s="388"/>
    </row>
    <row r="335" spans="4:15" s="112" customFormat="1" ht="12.75">
      <c r="D335" s="387"/>
      <c r="E335" s="206"/>
      <c r="F335" s="387"/>
      <c r="G335" s="206"/>
      <c r="H335" s="388"/>
      <c r="K335" s="410"/>
      <c r="L335" s="410"/>
      <c r="M335" s="411"/>
      <c r="O335" s="388"/>
    </row>
    <row r="336" spans="4:15" s="112" customFormat="1" ht="12.75">
      <c r="D336" s="387"/>
      <c r="E336" s="206"/>
      <c r="F336" s="387"/>
      <c r="G336" s="206"/>
      <c r="H336" s="388"/>
      <c r="K336" s="410"/>
      <c r="L336" s="410"/>
      <c r="M336" s="411"/>
      <c r="O336" s="388"/>
    </row>
    <row r="337" spans="4:15" s="112" customFormat="1" ht="12.75">
      <c r="D337" s="387"/>
      <c r="E337" s="206"/>
      <c r="F337" s="387"/>
      <c r="G337" s="206"/>
      <c r="H337" s="388"/>
      <c r="K337" s="410"/>
      <c r="L337" s="410"/>
      <c r="M337" s="411"/>
      <c r="O337" s="388"/>
    </row>
    <row r="338" spans="4:15" s="112" customFormat="1" ht="12.75">
      <c r="D338" s="387"/>
      <c r="E338" s="206"/>
      <c r="F338" s="387"/>
      <c r="G338" s="206"/>
      <c r="H338" s="388"/>
      <c r="K338" s="410"/>
      <c r="L338" s="410"/>
      <c r="M338" s="411"/>
      <c r="O338" s="388"/>
    </row>
    <row r="339" spans="4:15" s="112" customFormat="1" ht="12.75">
      <c r="D339" s="387"/>
      <c r="E339" s="206"/>
      <c r="F339" s="387"/>
      <c r="G339" s="206"/>
      <c r="H339" s="388"/>
      <c r="K339" s="410"/>
      <c r="L339" s="410"/>
      <c r="M339" s="411"/>
      <c r="O339" s="388"/>
    </row>
    <row r="340" spans="4:15" s="112" customFormat="1" ht="12.75">
      <c r="D340" s="387"/>
      <c r="E340" s="206"/>
      <c r="F340" s="387"/>
      <c r="G340" s="206"/>
      <c r="H340" s="388"/>
      <c r="K340" s="410"/>
      <c r="L340" s="410"/>
      <c r="M340" s="411"/>
      <c r="O340" s="388"/>
    </row>
    <row r="341" spans="4:15" s="112" customFormat="1" ht="12.75">
      <c r="D341" s="387"/>
      <c r="E341" s="206"/>
      <c r="F341" s="387"/>
      <c r="G341" s="206"/>
      <c r="H341" s="388"/>
      <c r="K341" s="410"/>
      <c r="L341" s="410"/>
      <c r="M341" s="411"/>
      <c r="O341" s="388"/>
    </row>
    <row r="342" spans="4:15" s="112" customFormat="1" ht="12.75">
      <c r="D342" s="387"/>
      <c r="E342" s="206"/>
      <c r="F342" s="387"/>
      <c r="G342" s="206"/>
      <c r="H342" s="388"/>
      <c r="K342" s="410"/>
      <c r="L342" s="410"/>
      <c r="M342" s="411"/>
      <c r="O342" s="388"/>
    </row>
    <row r="343" spans="4:15" s="112" customFormat="1" ht="12.75">
      <c r="D343" s="387"/>
      <c r="E343" s="206"/>
      <c r="F343" s="387"/>
      <c r="G343" s="206"/>
      <c r="H343" s="388"/>
      <c r="K343" s="410"/>
      <c r="L343" s="410"/>
      <c r="M343" s="411"/>
      <c r="O343" s="388"/>
    </row>
    <row r="344" spans="4:15" s="112" customFormat="1" ht="12.75">
      <c r="D344" s="387"/>
      <c r="E344" s="206"/>
      <c r="F344" s="387"/>
      <c r="G344" s="206"/>
      <c r="H344" s="388"/>
      <c r="K344" s="410"/>
      <c r="L344" s="410"/>
      <c r="M344" s="411"/>
      <c r="O344" s="388"/>
    </row>
    <row r="345" spans="4:15" s="112" customFormat="1" ht="12.75">
      <c r="D345" s="387"/>
      <c r="E345" s="206"/>
      <c r="F345" s="387"/>
      <c r="G345" s="206"/>
      <c r="H345" s="388"/>
      <c r="K345" s="410"/>
      <c r="L345" s="410"/>
      <c r="M345" s="411"/>
      <c r="O345" s="388"/>
    </row>
    <row r="346" spans="4:15" s="112" customFormat="1" ht="12.75">
      <c r="D346" s="387"/>
      <c r="E346" s="206"/>
      <c r="F346" s="387"/>
      <c r="G346" s="206"/>
      <c r="H346" s="388"/>
      <c r="K346" s="410"/>
      <c r="L346" s="410"/>
      <c r="M346" s="411"/>
      <c r="O346" s="388"/>
    </row>
    <row r="347" spans="4:15" s="112" customFormat="1" ht="12.75">
      <c r="D347" s="387"/>
      <c r="E347" s="206"/>
      <c r="F347" s="387"/>
      <c r="G347" s="206"/>
      <c r="H347" s="388"/>
      <c r="K347" s="410"/>
      <c r="L347" s="410"/>
      <c r="M347" s="411"/>
      <c r="O347" s="388"/>
    </row>
    <row r="348" spans="4:15" s="112" customFormat="1" ht="12.75">
      <c r="D348" s="387"/>
      <c r="E348" s="206"/>
      <c r="F348" s="387"/>
      <c r="G348" s="206"/>
      <c r="H348" s="388"/>
      <c r="K348" s="410"/>
      <c r="L348" s="410"/>
      <c r="M348" s="411"/>
      <c r="O348" s="388"/>
    </row>
    <row r="349" spans="4:15" s="112" customFormat="1" ht="12.75">
      <c r="D349" s="387"/>
      <c r="E349" s="206"/>
      <c r="F349" s="387"/>
      <c r="G349" s="206"/>
      <c r="H349" s="388"/>
      <c r="K349" s="410"/>
      <c r="L349" s="410"/>
      <c r="M349" s="411"/>
      <c r="O349" s="388"/>
    </row>
    <row r="350" spans="4:15" s="112" customFormat="1" ht="12.75">
      <c r="D350" s="387"/>
      <c r="E350" s="206"/>
      <c r="F350" s="387"/>
      <c r="G350" s="206"/>
      <c r="H350" s="388"/>
      <c r="K350" s="410"/>
      <c r="L350" s="410"/>
      <c r="M350" s="411"/>
      <c r="O350" s="388"/>
    </row>
    <row r="351" spans="4:15" s="112" customFormat="1" ht="12.75">
      <c r="D351" s="387"/>
      <c r="E351" s="206"/>
      <c r="F351" s="387"/>
      <c r="G351" s="206"/>
      <c r="H351" s="388"/>
      <c r="K351" s="410"/>
      <c r="L351" s="410"/>
      <c r="M351" s="411"/>
      <c r="O351" s="388"/>
    </row>
    <row r="352" spans="4:15" s="112" customFormat="1" ht="12.75">
      <c r="D352" s="387"/>
      <c r="E352" s="206"/>
      <c r="F352" s="387"/>
      <c r="G352" s="206"/>
      <c r="H352" s="388"/>
      <c r="K352" s="410"/>
      <c r="L352" s="410"/>
      <c r="M352" s="411"/>
      <c r="O352" s="388"/>
    </row>
    <row r="353" spans="4:15" s="112" customFormat="1" ht="12.75">
      <c r="D353" s="387"/>
      <c r="E353" s="206"/>
      <c r="F353" s="387"/>
      <c r="G353" s="206"/>
      <c r="H353" s="388"/>
      <c r="K353" s="410"/>
      <c r="L353" s="410"/>
      <c r="M353" s="411"/>
      <c r="O353" s="388"/>
    </row>
    <row r="354" spans="4:15" s="112" customFormat="1" ht="12.75">
      <c r="D354" s="387"/>
      <c r="E354" s="206"/>
      <c r="F354" s="387"/>
      <c r="G354" s="206"/>
      <c r="H354" s="388"/>
      <c r="K354" s="410"/>
      <c r="L354" s="410"/>
      <c r="M354" s="411"/>
      <c r="O354" s="388"/>
    </row>
    <row r="355" spans="4:15" s="112" customFormat="1" ht="12.75">
      <c r="D355" s="387"/>
      <c r="E355" s="206"/>
      <c r="F355" s="387"/>
      <c r="G355" s="206"/>
      <c r="H355" s="388"/>
      <c r="K355" s="410"/>
      <c r="L355" s="410"/>
      <c r="M355" s="411"/>
      <c r="O355" s="388"/>
    </row>
    <row r="356" spans="4:15" s="112" customFormat="1" ht="12.75">
      <c r="D356" s="387"/>
      <c r="E356" s="206"/>
      <c r="F356" s="387"/>
      <c r="G356" s="206"/>
      <c r="H356" s="388"/>
      <c r="K356" s="410"/>
      <c r="L356" s="410"/>
      <c r="M356" s="411"/>
      <c r="O356" s="388"/>
    </row>
    <row r="357" spans="4:15" s="112" customFormat="1" ht="12.75">
      <c r="D357" s="387"/>
      <c r="E357" s="206"/>
      <c r="F357" s="387"/>
      <c r="G357" s="206"/>
      <c r="H357" s="388"/>
      <c r="K357" s="410"/>
      <c r="L357" s="410"/>
      <c r="M357" s="411"/>
      <c r="O357" s="388"/>
    </row>
    <row r="358" spans="4:15" s="112" customFormat="1" ht="12.75">
      <c r="D358" s="387"/>
      <c r="E358" s="206"/>
      <c r="F358" s="387"/>
      <c r="G358" s="206"/>
      <c r="H358" s="388"/>
      <c r="K358" s="410"/>
      <c r="L358" s="410"/>
      <c r="M358" s="411"/>
      <c r="O358" s="388"/>
    </row>
    <row r="359" spans="4:15" s="112" customFormat="1" ht="12.75">
      <c r="D359" s="387"/>
      <c r="E359" s="206"/>
      <c r="F359" s="387"/>
      <c r="G359" s="206"/>
      <c r="H359" s="388"/>
      <c r="K359" s="410"/>
      <c r="L359" s="410"/>
      <c r="M359" s="411"/>
      <c r="O359" s="388"/>
    </row>
    <row r="360" spans="4:15" s="112" customFormat="1" ht="12.75">
      <c r="D360" s="387"/>
      <c r="E360" s="206"/>
      <c r="F360" s="387"/>
      <c r="G360" s="206"/>
      <c r="H360" s="388"/>
      <c r="K360" s="410"/>
      <c r="L360" s="410"/>
      <c r="M360" s="411"/>
      <c r="O360" s="388"/>
    </row>
    <row r="361" spans="4:15" s="112" customFormat="1" ht="12.75">
      <c r="D361" s="387"/>
      <c r="E361" s="206"/>
      <c r="F361" s="387"/>
      <c r="G361" s="206"/>
      <c r="H361" s="388"/>
      <c r="K361" s="410"/>
      <c r="L361" s="410"/>
      <c r="M361" s="411"/>
      <c r="O361" s="388"/>
    </row>
    <row r="362" spans="4:15" s="112" customFormat="1" ht="12.75">
      <c r="D362" s="387"/>
      <c r="E362" s="206"/>
      <c r="F362" s="387"/>
      <c r="G362" s="206"/>
      <c r="H362" s="388"/>
      <c r="K362" s="410"/>
      <c r="L362" s="410"/>
      <c r="M362" s="411"/>
      <c r="O362" s="388"/>
    </row>
    <row r="363" spans="4:15" s="112" customFormat="1" ht="12.75">
      <c r="D363" s="387"/>
      <c r="E363" s="206"/>
      <c r="F363" s="387"/>
      <c r="G363" s="206"/>
      <c r="H363" s="388"/>
      <c r="K363" s="410"/>
      <c r="L363" s="410"/>
      <c r="M363" s="411"/>
      <c r="O363" s="388"/>
    </row>
    <row r="364" spans="4:15" s="112" customFormat="1" ht="12.75">
      <c r="D364" s="387"/>
      <c r="E364" s="206"/>
      <c r="F364" s="387"/>
      <c r="G364" s="206"/>
      <c r="H364" s="388"/>
      <c r="K364" s="410"/>
      <c r="L364" s="410"/>
      <c r="M364" s="411"/>
      <c r="O364" s="388"/>
    </row>
    <row r="365" spans="4:15" s="112" customFormat="1" ht="12.75">
      <c r="D365" s="387"/>
      <c r="E365" s="206"/>
      <c r="F365" s="387"/>
      <c r="G365" s="206"/>
      <c r="H365" s="388"/>
      <c r="K365" s="410"/>
      <c r="L365" s="410"/>
      <c r="M365" s="411"/>
      <c r="O365" s="388"/>
    </row>
    <row r="366" spans="4:15" s="112" customFormat="1" ht="12.75">
      <c r="D366" s="387"/>
      <c r="E366" s="206"/>
      <c r="F366" s="387"/>
      <c r="G366" s="206"/>
      <c r="H366" s="388"/>
      <c r="K366" s="410"/>
      <c r="L366" s="410"/>
      <c r="M366" s="411"/>
      <c r="O366" s="388"/>
    </row>
    <row r="367" spans="4:15" s="112" customFormat="1" ht="12.75">
      <c r="D367" s="387"/>
      <c r="E367" s="206"/>
      <c r="F367" s="387"/>
      <c r="G367" s="206"/>
      <c r="H367" s="388"/>
      <c r="K367" s="410"/>
      <c r="L367" s="410"/>
      <c r="M367" s="411"/>
      <c r="O367" s="388"/>
    </row>
    <row r="368" spans="4:15" s="112" customFormat="1" ht="12.75">
      <c r="D368" s="387"/>
      <c r="E368" s="206"/>
      <c r="F368" s="387"/>
      <c r="G368" s="206"/>
      <c r="H368" s="388"/>
      <c r="K368" s="410"/>
      <c r="L368" s="410"/>
      <c r="M368" s="411"/>
      <c r="O368" s="388"/>
    </row>
    <row r="369" spans="4:15" s="112" customFormat="1" ht="12.75">
      <c r="D369" s="387"/>
      <c r="E369" s="206"/>
      <c r="F369" s="387"/>
      <c r="G369" s="206"/>
      <c r="H369" s="388"/>
      <c r="K369" s="410"/>
      <c r="L369" s="410"/>
      <c r="M369" s="411"/>
      <c r="O369" s="388"/>
    </row>
    <row r="370" spans="4:15" s="112" customFormat="1" ht="12.75">
      <c r="D370" s="387"/>
      <c r="E370" s="206"/>
      <c r="F370" s="387"/>
      <c r="G370" s="206"/>
      <c r="H370" s="388"/>
      <c r="K370" s="410"/>
      <c r="L370" s="410"/>
      <c r="M370" s="411"/>
      <c r="O370" s="388"/>
    </row>
    <row r="371" spans="4:15" s="112" customFormat="1" ht="12.75">
      <c r="D371" s="387"/>
      <c r="E371" s="206"/>
      <c r="F371" s="387"/>
      <c r="G371" s="206"/>
      <c r="H371" s="388"/>
      <c r="K371" s="410"/>
      <c r="L371" s="410"/>
      <c r="M371" s="411"/>
      <c r="O371" s="388"/>
    </row>
    <row r="372" spans="4:15" s="112" customFormat="1" ht="12.75">
      <c r="D372" s="387"/>
      <c r="E372" s="206"/>
      <c r="F372" s="387"/>
      <c r="G372" s="206"/>
      <c r="H372" s="388"/>
      <c r="K372" s="410"/>
      <c r="L372" s="410"/>
      <c r="M372" s="411"/>
      <c r="O372" s="388"/>
    </row>
    <row r="373" spans="4:15" s="112" customFormat="1" ht="12.75">
      <c r="D373" s="387"/>
      <c r="E373" s="206"/>
      <c r="F373" s="387"/>
      <c r="G373" s="206"/>
      <c r="H373" s="388"/>
      <c r="K373" s="410"/>
      <c r="L373" s="410"/>
      <c r="M373" s="411"/>
      <c r="O373" s="388"/>
    </row>
    <row r="374" spans="4:15" s="112" customFormat="1" ht="12.75">
      <c r="D374" s="387"/>
      <c r="E374" s="206"/>
      <c r="F374" s="387"/>
      <c r="G374" s="206"/>
      <c r="H374" s="388"/>
      <c r="K374" s="410"/>
      <c r="L374" s="410"/>
      <c r="M374" s="411"/>
      <c r="O374" s="388"/>
    </row>
    <row r="375" spans="4:15" s="112" customFormat="1" ht="12.75">
      <c r="D375" s="387"/>
      <c r="E375" s="206"/>
      <c r="F375" s="387"/>
      <c r="G375" s="206"/>
      <c r="H375" s="388"/>
      <c r="K375" s="410"/>
      <c r="L375" s="410"/>
      <c r="M375" s="411"/>
      <c r="O375" s="388"/>
    </row>
    <row r="376" spans="4:15" s="112" customFormat="1" ht="12.75">
      <c r="D376" s="387"/>
      <c r="E376" s="206"/>
      <c r="F376" s="387"/>
      <c r="G376" s="206"/>
      <c r="H376" s="388"/>
      <c r="K376" s="410"/>
      <c r="L376" s="410"/>
      <c r="M376" s="411"/>
      <c r="O376" s="388"/>
    </row>
    <row r="377" spans="4:15" s="112" customFormat="1" ht="12.75">
      <c r="D377" s="387"/>
      <c r="E377" s="206"/>
      <c r="F377" s="387"/>
      <c r="G377" s="206"/>
      <c r="H377" s="388"/>
      <c r="K377" s="410"/>
      <c r="L377" s="410"/>
      <c r="M377" s="411"/>
      <c r="O377" s="388"/>
    </row>
    <row r="378" spans="4:15" s="112" customFormat="1" ht="12.75">
      <c r="D378" s="387"/>
      <c r="E378" s="206"/>
      <c r="F378" s="387"/>
      <c r="G378" s="206"/>
      <c r="H378" s="388"/>
      <c r="K378" s="410"/>
      <c r="L378" s="410"/>
      <c r="M378" s="411"/>
      <c r="O378" s="388"/>
    </row>
    <row r="379" spans="4:15" s="112" customFormat="1" ht="12.75">
      <c r="D379" s="387"/>
      <c r="E379" s="206"/>
      <c r="F379" s="387"/>
      <c r="G379" s="206"/>
      <c r="H379" s="388"/>
      <c r="K379" s="410"/>
      <c r="L379" s="410"/>
      <c r="M379" s="411"/>
      <c r="O379" s="388"/>
    </row>
    <row r="380" spans="4:15" s="112" customFormat="1" ht="12.75">
      <c r="D380" s="387"/>
      <c r="E380" s="206"/>
      <c r="F380" s="387"/>
      <c r="G380" s="206"/>
      <c r="H380" s="388"/>
      <c r="K380" s="410"/>
      <c r="L380" s="410"/>
      <c r="M380" s="411"/>
      <c r="O380" s="388"/>
    </row>
    <row r="381" spans="4:15" s="112" customFormat="1" ht="12.75">
      <c r="D381" s="387"/>
      <c r="E381" s="206"/>
      <c r="F381" s="387"/>
      <c r="G381" s="206"/>
      <c r="H381" s="388"/>
      <c r="K381" s="410"/>
      <c r="L381" s="410"/>
      <c r="M381" s="411"/>
      <c r="O381" s="388"/>
    </row>
    <row r="382" spans="4:15" s="112" customFormat="1" ht="12.75">
      <c r="D382" s="387"/>
      <c r="E382" s="206"/>
      <c r="F382" s="387"/>
      <c r="G382" s="206"/>
      <c r="H382" s="388"/>
      <c r="K382" s="410"/>
      <c r="L382" s="410"/>
      <c r="M382" s="411"/>
      <c r="O382" s="388"/>
    </row>
    <row r="383" spans="4:15" s="112" customFormat="1" ht="12.75">
      <c r="D383" s="387"/>
      <c r="E383" s="206"/>
      <c r="F383" s="387"/>
      <c r="G383" s="206"/>
      <c r="H383" s="388"/>
      <c r="K383" s="410"/>
      <c r="L383" s="410"/>
      <c r="M383" s="411"/>
      <c r="O383" s="388"/>
    </row>
    <row r="384" spans="4:15" s="112" customFormat="1" ht="12.75">
      <c r="D384" s="387"/>
      <c r="E384" s="206"/>
      <c r="F384" s="387"/>
      <c r="G384" s="206"/>
      <c r="H384" s="388"/>
      <c r="K384" s="410"/>
      <c r="L384" s="410"/>
      <c r="M384" s="411"/>
      <c r="O384" s="388"/>
    </row>
    <row r="385" spans="4:15" s="112" customFormat="1" ht="12.75">
      <c r="D385" s="387"/>
      <c r="E385" s="206"/>
      <c r="F385" s="387"/>
      <c r="G385" s="206"/>
      <c r="H385" s="388"/>
      <c r="K385" s="410"/>
      <c r="L385" s="410"/>
      <c r="M385" s="411"/>
      <c r="O385" s="388"/>
    </row>
    <row r="386" spans="4:15" s="112" customFormat="1" ht="12.75">
      <c r="D386" s="387"/>
      <c r="E386" s="206"/>
      <c r="F386" s="387"/>
      <c r="G386" s="206"/>
      <c r="H386" s="388"/>
      <c r="K386" s="410"/>
      <c r="L386" s="410"/>
      <c r="M386" s="411"/>
      <c r="O386" s="388"/>
    </row>
    <row r="387" spans="4:15" s="112" customFormat="1" ht="12.75">
      <c r="D387" s="387"/>
      <c r="E387" s="206"/>
      <c r="F387" s="387"/>
      <c r="G387" s="206"/>
      <c r="H387" s="388"/>
      <c r="K387" s="410"/>
      <c r="L387" s="410"/>
      <c r="M387" s="411"/>
      <c r="O387" s="388"/>
    </row>
    <row r="388" spans="4:15" s="112" customFormat="1" ht="12.75">
      <c r="D388" s="387"/>
      <c r="E388" s="206"/>
      <c r="F388" s="387"/>
      <c r="G388" s="206"/>
      <c r="H388" s="388"/>
      <c r="K388" s="410"/>
      <c r="L388" s="410"/>
      <c r="M388" s="411"/>
      <c r="O388" s="388"/>
    </row>
    <row r="389" spans="4:15" s="112" customFormat="1" ht="12.75">
      <c r="D389" s="387"/>
      <c r="E389" s="206"/>
      <c r="F389" s="387"/>
      <c r="G389" s="206"/>
      <c r="H389" s="388"/>
      <c r="K389" s="410"/>
      <c r="L389" s="410"/>
      <c r="M389" s="411"/>
      <c r="O389" s="388"/>
    </row>
    <row r="390" spans="4:15" s="112" customFormat="1" ht="12.75">
      <c r="D390" s="387"/>
      <c r="E390" s="206"/>
      <c r="F390" s="387"/>
      <c r="G390" s="206"/>
      <c r="H390" s="388"/>
      <c r="K390" s="410"/>
      <c r="L390" s="410"/>
      <c r="M390" s="411"/>
      <c r="O390" s="388"/>
    </row>
    <row r="391" spans="4:15" s="112" customFormat="1" ht="12.75">
      <c r="D391" s="387"/>
      <c r="E391" s="206"/>
      <c r="F391" s="387"/>
      <c r="G391" s="206"/>
      <c r="H391" s="388"/>
      <c r="K391" s="410"/>
      <c r="L391" s="410"/>
      <c r="M391" s="411"/>
      <c r="O391" s="388"/>
    </row>
    <row r="392" spans="4:15" s="112" customFormat="1" ht="12.75">
      <c r="D392" s="387"/>
      <c r="E392" s="206"/>
      <c r="F392" s="387"/>
      <c r="G392" s="206"/>
      <c r="H392" s="388"/>
      <c r="K392" s="410"/>
      <c r="L392" s="410"/>
      <c r="M392" s="411"/>
      <c r="O392" s="388"/>
    </row>
    <row r="393" spans="4:15" s="112" customFormat="1" ht="12.75">
      <c r="D393" s="387"/>
      <c r="E393" s="206"/>
      <c r="F393" s="387"/>
      <c r="G393" s="206"/>
      <c r="H393" s="388"/>
      <c r="K393" s="410"/>
      <c r="L393" s="410"/>
      <c r="M393" s="411"/>
      <c r="O393" s="388"/>
    </row>
    <row r="394" spans="4:15" s="112" customFormat="1" ht="12.75">
      <c r="D394" s="387"/>
      <c r="E394" s="206"/>
      <c r="F394" s="387"/>
      <c r="G394" s="206"/>
      <c r="H394" s="388"/>
      <c r="K394" s="410"/>
      <c r="L394" s="410"/>
      <c r="M394" s="411"/>
      <c r="O394" s="388"/>
    </row>
    <row r="395" spans="4:15" s="112" customFormat="1" ht="12.75">
      <c r="D395" s="387"/>
      <c r="E395" s="206"/>
      <c r="F395" s="387"/>
      <c r="G395" s="206"/>
      <c r="H395" s="388"/>
      <c r="K395" s="410"/>
      <c r="L395" s="410"/>
      <c r="M395" s="411"/>
      <c r="O395" s="388"/>
    </row>
    <row r="396" spans="4:15" s="112" customFormat="1" ht="12.75">
      <c r="D396" s="387"/>
      <c r="E396" s="206"/>
      <c r="F396" s="387"/>
      <c r="G396" s="206"/>
      <c r="H396" s="388"/>
      <c r="K396" s="410"/>
      <c r="L396" s="410"/>
      <c r="M396" s="411"/>
      <c r="O396" s="388"/>
    </row>
    <row r="397" spans="4:15" s="112" customFormat="1" ht="12.75">
      <c r="D397" s="387"/>
      <c r="E397" s="206"/>
      <c r="F397" s="387"/>
      <c r="G397" s="206"/>
      <c r="H397" s="388"/>
      <c r="K397" s="410"/>
      <c r="L397" s="410"/>
      <c r="M397" s="411"/>
      <c r="O397" s="388"/>
    </row>
    <row r="398" spans="4:15" s="112" customFormat="1" ht="12.75">
      <c r="D398" s="387"/>
      <c r="E398" s="206"/>
      <c r="F398" s="387"/>
      <c r="G398" s="206"/>
      <c r="H398" s="388"/>
      <c r="K398" s="410"/>
      <c r="L398" s="410"/>
      <c r="M398" s="411"/>
      <c r="O398" s="388"/>
    </row>
    <row r="399" spans="4:15" s="112" customFormat="1" ht="12.75">
      <c r="D399" s="387"/>
      <c r="E399" s="206"/>
      <c r="F399" s="387"/>
      <c r="G399" s="206"/>
      <c r="H399" s="388"/>
      <c r="K399" s="410"/>
      <c r="L399" s="410"/>
      <c r="M399" s="411"/>
      <c r="O399" s="388"/>
    </row>
    <row r="400" spans="4:15" s="112" customFormat="1" ht="12.75">
      <c r="D400" s="387"/>
      <c r="E400" s="206"/>
      <c r="F400" s="387"/>
      <c r="G400" s="206"/>
      <c r="H400" s="388"/>
      <c r="K400" s="410"/>
      <c r="L400" s="410"/>
      <c r="M400" s="411"/>
      <c r="O400" s="388"/>
    </row>
    <row r="401" spans="4:15" s="112" customFormat="1" ht="12.75">
      <c r="D401" s="387"/>
      <c r="E401" s="206"/>
      <c r="F401" s="387"/>
      <c r="G401" s="206"/>
      <c r="H401" s="388"/>
      <c r="K401" s="410"/>
      <c r="L401" s="410"/>
      <c r="M401" s="411"/>
      <c r="O401" s="388"/>
    </row>
    <row r="402" spans="4:15" s="112" customFormat="1" ht="12.75">
      <c r="D402" s="387"/>
      <c r="E402" s="206"/>
      <c r="F402" s="387"/>
      <c r="G402" s="206"/>
      <c r="H402" s="388"/>
      <c r="K402" s="410"/>
      <c r="L402" s="410"/>
      <c r="M402" s="411"/>
      <c r="O402" s="388"/>
    </row>
    <row r="403" spans="4:15" s="112" customFormat="1" ht="12.75">
      <c r="D403" s="387"/>
      <c r="E403" s="206"/>
      <c r="F403" s="387"/>
      <c r="G403" s="206"/>
      <c r="H403" s="388"/>
      <c r="K403" s="410"/>
      <c r="L403" s="410"/>
      <c r="M403" s="411"/>
      <c r="O403" s="388"/>
    </row>
    <row r="404" spans="4:15" s="112" customFormat="1" ht="12.75">
      <c r="D404" s="387"/>
      <c r="E404" s="206"/>
      <c r="F404" s="387"/>
      <c r="G404" s="206"/>
      <c r="H404" s="388"/>
      <c r="K404" s="410"/>
      <c r="L404" s="410"/>
      <c r="M404" s="411"/>
      <c r="O404" s="388"/>
    </row>
    <row r="405" spans="4:15" s="112" customFormat="1" ht="12.75">
      <c r="D405" s="387"/>
      <c r="E405" s="206"/>
      <c r="F405" s="387"/>
      <c r="G405" s="206"/>
      <c r="H405" s="388"/>
      <c r="K405" s="410"/>
      <c r="L405" s="410"/>
      <c r="M405" s="411"/>
      <c r="O405" s="388"/>
    </row>
    <row r="406" spans="4:15" s="112" customFormat="1" ht="12.75">
      <c r="D406" s="387"/>
      <c r="E406" s="206"/>
      <c r="F406" s="387"/>
      <c r="G406" s="206"/>
      <c r="H406" s="388"/>
      <c r="K406" s="410"/>
      <c r="L406" s="410"/>
      <c r="M406" s="411"/>
      <c r="O406" s="388"/>
    </row>
    <row r="407" spans="4:15" s="112" customFormat="1" ht="12.75">
      <c r="D407" s="387"/>
      <c r="E407" s="206"/>
      <c r="F407" s="387"/>
      <c r="G407" s="206"/>
      <c r="H407" s="388"/>
      <c r="K407" s="410"/>
      <c r="L407" s="410"/>
      <c r="M407" s="411"/>
      <c r="O407" s="388"/>
    </row>
    <row r="408" spans="4:15" s="112" customFormat="1" ht="12.75">
      <c r="D408" s="387"/>
      <c r="E408" s="206"/>
      <c r="F408" s="387"/>
      <c r="G408" s="206"/>
      <c r="H408" s="388"/>
      <c r="K408" s="410"/>
      <c r="L408" s="410"/>
      <c r="M408" s="411"/>
      <c r="O408" s="388"/>
    </row>
    <row r="409" spans="4:15" s="112" customFormat="1" ht="12.75">
      <c r="D409" s="387"/>
      <c r="E409" s="206"/>
      <c r="F409" s="387"/>
      <c r="G409" s="206"/>
      <c r="H409" s="388"/>
      <c r="K409" s="410"/>
      <c r="L409" s="410"/>
      <c r="M409" s="411"/>
      <c r="O409" s="388"/>
    </row>
    <row r="410" spans="4:15" s="112" customFormat="1" ht="12.75">
      <c r="D410" s="387"/>
      <c r="E410" s="206"/>
      <c r="F410" s="387"/>
      <c r="G410" s="206"/>
      <c r="H410" s="388"/>
      <c r="K410" s="410"/>
      <c r="L410" s="410"/>
      <c r="M410" s="411"/>
      <c r="O410" s="388"/>
    </row>
    <row r="411" spans="4:15" s="112" customFormat="1" ht="12.75">
      <c r="D411" s="387"/>
      <c r="E411" s="206"/>
      <c r="F411" s="387"/>
      <c r="G411" s="206"/>
      <c r="H411" s="388"/>
      <c r="K411" s="410"/>
      <c r="L411" s="410"/>
      <c r="M411" s="411"/>
      <c r="O411" s="388"/>
    </row>
    <row r="412" spans="4:15" s="112" customFormat="1" ht="12.75">
      <c r="D412" s="387"/>
      <c r="E412" s="206"/>
      <c r="F412" s="387"/>
      <c r="G412" s="206"/>
      <c r="H412" s="388"/>
      <c r="K412" s="410"/>
      <c r="L412" s="410"/>
      <c r="M412" s="411"/>
      <c r="O412" s="388"/>
    </row>
    <row r="413" spans="4:15" s="112" customFormat="1" ht="12.75">
      <c r="D413" s="387"/>
      <c r="E413" s="206"/>
      <c r="F413" s="387"/>
      <c r="G413" s="206"/>
      <c r="H413" s="388"/>
      <c r="K413" s="410"/>
      <c r="L413" s="410"/>
      <c r="M413" s="411"/>
      <c r="O413" s="388"/>
    </row>
    <row r="414" spans="4:15" s="112" customFormat="1" ht="12.75">
      <c r="D414" s="387"/>
      <c r="E414" s="206"/>
      <c r="F414" s="387"/>
      <c r="G414" s="206"/>
      <c r="H414" s="388"/>
      <c r="K414" s="410"/>
      <c r="L414" s="410"/>
      <c r="M414" s="411"/>
      <c r="O414" s="388"/>
    </row>
    <row r="415" spans="4:15" s="112" customFormat="1" ht="12.75">
      <c r="D415" s="387"/>
      <c r="E415" s="206"/>
      <c r="F415" s="387"/>
      <c r="G415" s="206"/>
      <c r="H415" s="388"/>
      <c r="K415" s="410"/>
      <c r="L415" s="410"/>
      <c r="M415" s="411"/>
      <c r="O415" s="388"/>
    </row>
    <row r="416" spans="4:15" s="112" customFormat="1" ht="12.75">
      <c r="D416" s="387"/>
      <c r="E416" s="206"/>
      <c r="F416" s="387"/>
      <c r="G416" s="206"/>
      <c r="H416" s="388"/>
      <c r="K416" s="410"/>
      <c r="L416" s="410"/>
      <c r="M416" s="411"/>
      <c r="O416" s="388"/>
    </row>
    <row r="417" spans="4:15" s="112" customFormat="1" ht="12.75">
      <c r="D417" s="387"/>
      <c r="E417" s="206"/>
      <c r="F417" s="387"/>
      <c r="G417" s="206"/>
      <c r="H417" s="388"/>
      <c r="K417" s="410"/>
      <c r="L417" s="410"/>
      <c r="M417" s="411"/>
      <c r="O417" s="388"/>
    </row>
    <row r="418" spans="4:15" s="112" customFormat="1" ht="12.75">
      <c r="D418" s="387"/>
      <c r="E418" s="206"/>
      <c r="F418" s="387"/>
      <c r="G418" s="206"/>
      <c r="H418" s="388"/>
      <c r="K418" s="410"/>
      <c r="L418" s="410"/>
      <c r="M418" s="411"/>
      <c r="O418" s="388"/>
    </row>
    <row r="419" spans="4:15" s="112" customFormat="1" ht="12.75">
      <c r="D419" s="387"/>
      <c r="E419" s="206"/>
      <c r="F419" s="387"/>
      <c r="G419" s="206"/>
      <c r="H419" s="388"/>
      <c r="K419" s="410"/>
      <c r="L419" s="410"/>
      <c r="M419" s="411"/>
      <c r="O419" s="388"/>
    </row>
    <row r="420" spans="4:15" s="112" customFormat="1" ht="12.75">
      <c r="D420" s="387"/>
      <c r="E420" s="206"/>
      <c r="F420" s="387"/>
      <c r="G420" s="206"/>
      <c r="H420" s="388"/>
      <c r="K420" s="410"/>
      <c r="L420" s="410"/>
      <c r="M420" s="411"/>
      <c r="O420" s="388"/>
    </row>
    <row r="421" spans="4:15" s="112" customFormat="1" ht="12.75">
      <c r="D421" s="387"/>
      <c r="E421" s="206"/>
      <c r="F421" s="387"/>
      <c r="G421" s="206"/>
      <c r="H421" s="388"/>
      <c r="K421" s="410"/>
      <c r="L421" s="410"/>
      <c r="M421" s="411"/>
      <c r="O421" s="388"/>
    </row>
    <row r="422" spans="4:15" s="112" customFormat="1" ht="12.75">
      <c r="D422" s="387"/>
      <c r="E422" s="206"/>
      <c r="F422" s="387"/>
      <c r="G422" s="206"/>
      <c r="H422" s="388"/>
      <c r="K422" s="410"/>
      <c r="L422" s="410"/>
      <c r="M422" s="411"/>
      <c r="O422" s="388"/>
    </row>
    <row r="423" spans="4:15" s="112" customFormat="1" ht="12.75">
      <c r="D423" s="387"/>
      <c r="E423" s="206"/>
      <c r="F423" s="387"/>
      <c r="G423" s="206"/>
      <c r="H423" s="388"/>
      <c r="K423" s="410"/>
      <c r="L423" s="410"/>
      <c r="M423" s="411"/>
      <c r="O423" s="388"/>
    </row>
    <row r="424" spans="4:15" s="112" customFormat="1" ht="12.75">
      <c r="D424" s="387"/>
      <c r="E424" s="206"/>
      <c r="F424" s="387"/>
      <c r="G424" s="206"/>
      <c r="H424" s="388"/>
      <c r="K424" s="410"/>
      <c r="L424" s="410"/>
      <c r="M424" s="411"/>
      <c r="O424" s="388"/>
    </row>
    <row r="425" spans="4:15" s="112" customFormat="1" ht="12.75">
      <c r="D425" s="387"/>
      <c r="E425" s="206"/>
      <c r="F425" s="387"/>
      <c r="G425" s="206"/>
      <c r="H425" s="388"/>
      <c r="K425" s="410"/>
      <c r="L425" s="410"/>
      <c r="M425" s="411"/>
      <c r="O425" s="388"/>
    </row>
    <row r="426" spans="4:15" s="112" customFormat="1" ht="12.75">
      <c r="D426" s="387"/>
      <c r="E426" s="206"/>
      <c r="F426" s="387"/>
      <c r="G426" s="206"/>
      <c r="H426" s="388"/>
      <c r="K426" s="410"/>
      <c r="L426" s="410"/>
      <c r="M426" s="411"/>
      <c r="O426" s="388"/>
    </row>
    <row r="427" spans="4:15" s="112" customFormat="1" ht="12.75">
      <c r="D427" s="387"/>
      <c r="E427" s="206"/>
      <c r="F427" s="387"/>
      <c r="G427" s="206"/>
      <c r="H427" s="388"/>
      <c r="K427" s="410"/>
      <c r="L427" s="410"/>
      <c r="M427" s="411"/>
      <c r="O427" s="388"/>
    </row>
    <row r="428" spans="4:15" s="112" customFormat="1" ht="12.75">
      <c r="D428" s="387"/>
      <c r="E428" s="206"/>
      <c r="F428" s="387"/>
      <c r="G428" s="206"/>
      <c r="H428" s="388"/>
      <c r="K428" s="410"/>
      <c r="L428" s="410"/>
      <c r="M428" s="411"/>
      <c r="O428" s="388"/>
    </row>
    <row r="429" spans="4:15" s="112" customFormat="1" ht="12.75">
      <c r="D429" s="387"/>
      <c r="E429" s="206"/>
      <c r="F429" s="387"/>
      <c r="G429" s="206"/>
      <c r="H429" s="388"/>
      <c r="K429" s="410"/>
      <c r="L429" s="410"/>
      <c r="M429" s="411"/>
      <c r="O429" s="388"/>
    </row>
    <row r="430" spans="4:15" s="112" customFormat="1" ht="12.75">
      <c r="D430" s="387"/>
      <c r="E430" s="206"/>
      <c r="F430" s="387"/>
      <c r="G430" s="206"/>
      <c r="H430" s="388"/>
      <c r="K430" s="410"/>
      <c r="L430" s="410"/>
      <c r="M430" s="411"/>
      <c r="O430" s="388"/>
    </row>
    <row r="431" spans="4:15" s="112" customFormat="1" ht="12.75">
      <c r="D431" s="387"/>
      <c r="E431" s="206"/>
      <c r="F431" s="387"/>
      <c r="G431" s="206"/>
      <c r="H431" s="388"/>
      <c r="K431" s="410"/>
      <c r="L431" s="410"/>
      <c r="M431" s="411"/>
      <c r="O431" s="388"/>
    </row>
    <row r="432" spans="4:15" s="112" customFormat="1" ht="12.75">
      <c r="D432" s="387"/>
      <c r="E432" s="206"/>
      <c r="F432" s="387"/>
      <c r="G432" s="206"/>
      <c r="H432" s="388"/>
      <c r="K432" s="410"/>
      <c r="L432" s="410"/>
      <c r="M432" s="411"/>
      <c r="O432" s="388"/>
    </row>
    <row r="433" spans="4:15" s="112" customFormat="1" ht="12.75">
      <c r="D433" s="387"/>
      <c r="E433" s="206"/>
      <c r="F433" s="387"/>
      <c r="G433" s="206"/>
      <c r="H433" s="388"/>
      <c r="K433" s="410"/>
      <c r="L433" s="410"/>
      <c r="M433" s="411"/>
      <c r="O433" s="388"/>
    </row>
    <row r="434" spans="4:15" s="112" customFormat="1" ht="12.75">
      <c r="D434" s="387"/>
      <c r="E434" s="206"/>
      <c r="F434" s="387"/>
      <c r="G434" s="206"/>
      <c r="H434" s="388"/>
      <c r="K434" s="410"/>
      <c r="L434" s="410"/>
      <c r="M434" s="411"/>
      <c r="O434" s="388"/>
    </row>
    <row r="435" spans="4:15" s="112" customFormat="1" ht="12.75">
      <c r="D435" s="387"/>
      <c r="E435" s="206"/>
      <c r="F435" s="387"/>
      <c r="G435" s="206"/>
      <c r="H435" s="388"/>
      <c r="K435" s="410"/>
      <c r="L435" s="410"/>
      <c r="M435" s="411"/>
      <c r="O435" s="388"/>
    </row>
    <row r="436" spans="4:15" s="112" customFormat="1" ht="12.75">
      <c r="D436" s="387"/>
      <c r="E436" s="206"/>
      <c r="F436" s="387"/>
      <c r="G436" s="206"/>
      <c r="H436" s="388"/>
      <c r="K436" s="410"/>
      <c r="L436" s="410"/>
      <c r="M436" s="411"/>
      <c r="O436" s="388"/>
    </row>
    <row r="437" spans="4:15" s="112" customFormat="1" ht="12.75">
      <c r="D437" s="387"/>
      <c r="E437" s="206"/>
      <c r="F437" s="387"/>
      <c r="G437" s="206"/>
      <c r="H437" s="388"/>
      <c r="K437" s="410"/>
      <c r="L437" s="410"/>
      <c r="M437" s="411"/>
      <c r="O437" s="388"/>
    </row>
    <row r="438" spans="4:15" s="112" customFormat="1" ht="12.75">
      <c r="D438" s="387"/>
      <c r="E438" s="206"/>
      <c r="F438" s="387"/>
      <c r="G438" s="206"/>
      <c r="H438" s="388"/>
      <c r="K438" s="410"/>
      <c r="L438" s="410"/>
      <c r="M438" s="411"/>
      <c r="O438" s="388"/>
    </row>
    <row r="439" spans="4:15" s="112" customFormat="1" ht="12.75">
      <c r="D439" s="387"/>
      <c r="E439" s="206"/>
      <c r="F439" s="387"/>
      <c r="G439" s="206"/>
      <c r="H439" s="388"/>
      <c r="K439" s="410"/>
      <c r="L439" s="410"/>
      <c r="M439" s="411"/>
      <c r="O439" s="388"/>
    </row>
    <row r="440" spans="4:15" s="112" customFormat="1" ht="12.75">
      <c r="D440" s="387"/>
      <c r="E440" s="206"/>
      <c r="F440" s="387"/>
      <c r="G440" s="206"/>
      <c r="H440" s="388"/>
      <c r="K440" s="410"/>
      <c r="L440" s="410"/>
      <c r="M440" s="411"/>
      <c r="O440" s="388"/>
    </row>
    <row r="441" spans="4:15" s="112" customFormat="1" ht="12.75">
      <c r="D441" s="387"/>
      <c r="E441" s="206"/>
      <c r="F441" s="387"/>
      <c r="G441" s="206"/>
      <c r="H441" s="388"/>
      <c r="K441" s="410"/>
      <c r="L441" s="410"/>
      <c r="M441" s="411"/>
      <c r="O441" s="388"/>
    </row>
    <row r="442" spans="4:15" s="112" customFormat="1" ht="12.75">
      <c r="D442" s="387"/>
      <c r="E442" s="206"/>
      <c r="F442" s="387"/>
      <c r="G442" s="206"/>
      <c r="H442" s="388"/>
      <c r="K442" s="410"/>
      <c r="L442" s="410"/>
      <c r="M442" s="411"/>
      <c r="O442" s="388"/>
    </row>
    <row r="443" spans="4:15" s="112" customFormat="1" ht="12.75">
      <c r="D443" s="387"/>
      <c r="E443" s="206"/>
      <c r="F443" s="387"/>
      <c r="G443" s="206"/>
      <c r="H443" s="388"/>
      <c r="K443" s="410"/>
      <c r="L443" s="410"/>
      <c r="M443" s="411"/>
      <c r="O443" s="388"/>
    </row>
    <row r="444" spans="4:15" s="112" customFormat="1" ht="12.75">
      <c r="D444" s="387"/>
      <c r="E444" s="206"/>
      <c r="F444" s="387"/>
      <c r="G444" s="206"/>
      <c r="H444" s="388"/>
      <c r="K444" s="410"/>
      <c r="L444" s="410"/>
      <c r="M444" s="411"/>
      <c r="O444" s="388"/>
    </row>
    <row r="445" spans="4:15" s="112" customFormat="1" ht="12.75">
      <c r="D445" s="387"/>
      <c r="E445" s="206"/>
      <c r="F445" s="387"/>
      <c r="G445" s="206"/>
      <c r="H445" s="388"/>
      <c r="K445" s="410"/>
      <c r="L445" s="410"/>
      <c r="M445" s="411"/>
      <c r="O445" s="388"/>
    </row>
    <row r="446" spans="4:15" s="112" customFormat="1" ht="12.75">
      <c r="D446" s="387"/>
      <c r="E446" s="206"/>
      <c r="F446" s="387"/>
      <c r="G446" s="206"/>
      <c r="H446" s="388"/>
      <c r="K446" s="410"/>
      <c r="L446" s="410"/>
      <c r="M446" s="411"/>
      <c r="O446" s="388"/>
    </row>
    <row r="447" spans="4:15" s="112" customFormat="1" ht="12.75">
      <c r="D447" s="387"/>
      <c r="E447" s="206"/>
      <c r="F447" s="387"/>
      <c r="G447" s="206"/>
      <c r="H447" s="388"/>
      <c r="K447" s="410"/>
      <c r="L447" s="410"/>
      <c r="M447" s="411"/>
      <c r="O447" s="388"/>
    </row>
    <row r="448" spans="4:15" s="112" customFormat="1" ht="12.75">
      <c r="D448" s="387"/>
      <c r="E448" s="206"/>
      <c r="F448" s="387"/>
      <c r="G448" s="206"/>
      <c r="H448" s="388"/>
      <c r="K448" s="410"/>
      <c r="L448" s="410"/>
      <c r="M448" s="411"/>
      <c r="O448" s="388"/>
    </row>
    <row r="449" spans="4:15" s="112" customFormat="1" ht="12.75">
      <c r="D449" s="387"/>
      <c r="E449" s="206"/>
      <c r="F449" s="387"/>
      <c r="G449" s="206"/>
      <c r="H449" s="388"/>
      <c r="K449" s="410"/>
      <c r="L449" s="410"/>
      <c r="M449" s="411"/>
      <c r="O449" s="388"/>
    </row>
    <row r="450" spans="4:15" s="112" customFormat="1" ht="12.75">
      <c r="D450" s="387"/>
      <c r="E450" s="206"/>
      <c r="F450" s="387"/>
      <c r="G450" s="206"/>
      <c r="H450" s="388"/>
      <c r="K450" s="410"/>
      <c r="L450" s="410"/>
      <c r="M450" s="411"/>
      <c r="O450" s="388"/>
    </row>
    <row r="451" spans="4:15" s="112" customFormat="1" ht="12.75">
      <c r="D451" s="387"/>
      <c r="E451" s="206"/>
      <c r="F451" s="387"/>
      <c r="G451" s="206"/>
      <c r="H451" s="388"/>
      <c r="K451" s="410"/>
      <c r="L451" s="410"/>
      <c r="M451" s="411"/>
      <c r="O451" s="388"/>
    </row>
    <row r="452" spans="4:15" s="112" customFormat="1" ht="12.75">
      <c r="D452" s="387"/>
      <c r="E452" s="206"/>
      <c r="F452" s="387"/>
      <c r="G452" s="206"/>
      <c r="H452" s="388"/>
      <c r="K452" s="410"/>
      <c r="L452" s="410"/>
      <c r="M452" s="411"/>
      <c r="O452" s="388"/>
    </row>
    <row r="453" spans="4:15" s="112" customFormat="1" ht="12.75">
      <c r="D453" s="387"/>
      <c r="E453" s="206"/>
      <c r="F453" s="387"/>
      <c r="G453" s="206"/>
      <c r="H453" s="388"/>
      <c r="K453" s="410"/>
      <c r="L453" s="410"/>
      <c r="M453" s="411"/>
      <c r="O453" s="388"/>
    </row>
    <row r="454" spans="4:15" s="112" customFormat="1" ht="12.75">
      <c r="D454" s="387"/>
      <c r="E454" s="206"/>
      <c r="F454" s="387"/>
      <c r="G454" s="206"/>
      <c r="H454" s="388"/>
      <c r="K454" s="410"/>
      <c r="L454" s="410"/>
      <c r="M454" s="411"/>
      <c r="O454" s="388"/>
    </row>
  </sheetData>
  <sheetProtection password="C857" sheet="1" objects="1" scenarios="1"/>
  <mergeCells count="46">
    <mergeCell ref="AH6:AI6"/>
    <mergeCell ref="AJ6:AK6"/>
    <mergeCell ref="D8:H8"/>
    <mergeCell ref="X6:Y6"/>
    <mergeCell ref="Z6:AA6"/>
    <mergeCell ref="AB6:AC6"/>
    <mergeCell ref="AD6:AE6"/>
    <mergeCell ref="P6:Q6"/>
    <mergeCell ref="R6:S6"/>
    <mergeCell ref="T6:U6"/>
    <mergeCell ref="D10:H10"/>
    <mergeCell ref="D11:H11"/>
    <mergeCell ref="D9:H9"/>
    <mergeCell ref="AF6:AG6"/>
    <mergeCell ref="V6:W6"/>
    <mergeCell ref="C6:H7"/>
    <mergeCell ref="I6:M6"/>
    <mergeCell ref="N6:O6"/>
    <mergeCell ref="D17:H17"/>
    <mergeCell ref="D20:H20"/>
    <mergeCell ref="D12:H12"/>
    <mergeCell ref="D34:H34"/>
    <mergeCell ref="D28:H28"/>
    <mergeCell ref="D29:H29"/>
    <mergeCell ref="D31:H31"/>
    <mergeCell ref="D30:H30"/>
    <mergeCell ref="D13:H13"/>
    <mergeCell ref="D14:H14"/>
    <mergeCell ref="D15:H15"/>
    <mergeCell ref="D21:H21"/>
    <mergeCell ref="C2:M2"/>
    <mergeCell ref="D36:H36"/>
    <mergeCell ref="D37:H37"/>
    <mergeCell ref="D38:H38"/>
    <mergeCell ref="D18:H18"/>
    <mergeCell ref="D19:H19"/>
    <mergeCell ref="D35:H35"/>
    <mergeCell ref="D26:H26"/>
    <mergeCell ref="D27:H27"/>
    <mergeCell ref="D22:H22"/>
    <mergeCell ref="C4:M4"/>
    <mergeCell ref="D32:H32"/>
    <mergeCell ref="D33:H33"/>
    <mergeCell ref="D23:H23"/>
    <mergeCell ref="D25:H25"/>
    <mergeCell ref="D16:H16"/>
  </mergeCells>
  <phoneticPr fontId="0" type="noConversion"/>
  <conditionalFormatting sqref="K9">
    <cfRule type="cellIs" dxfId="0" priority="1" stopIfTrue="1" operator="equal">
      <formula>$I$9</formula>
    </cfRule>
  </conditionalFormatting>
  <pageMargins left="0.39370078740157483" right="0.39370078740157483" top="0.98425196850393704" bottom="0.98425196850393704" header="0.51181102362204722" footer="0.51181102362204722"/>
  <pageSetup paperSize="9" scale="82" orientation="landscape" r:id="rId1"/>
  <headerFooter alignWithMargins="0">
    <oddFooter>&amp;LZKB KMU Check-up&amp;CSeite &amp;P / &amp;N&amp;R&amp;D</oddFooter>
  </headerFooter>
  <colBreaks count="3" manualBreakCount="3">
    <brk id="19" max="37" man="1"/>
    <brk id="25" max="37" man="1"/>
    <brk id="31" max="37" man="1"/>
  </colBreaks>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18</vt:i4>
      </vt:variant>
    </vt:vector>
  </HeadingPairs>
  <TitlesOfParts>
    <vt:vector size="31" baseType="lpstr">
      <vt:lpstr>Hauptübersicht</vt:lpstr>
      <vt:lpstr>Input Eröffnungsbilanz</vt:lpstr>
      <vt:lpstr>Input Geschäftsgang</vt:lpstr>
      <vt:lpstr>Input Finanzierung</vt:lpstr>
      <vt:lpstr>Output Planbilanz</vt:lpstr>
      <vt:lpstr>Output Planerfolgsrechnung</vt:lpstr>
      <vt:lpstr>Output Mittelflussrechnung</vt:lpstr>
      <vt:lpstr>Output Kennzahlen</vt:lpstr>
      <vt:lpstr>Liquiditätsplan Jahr 1</vt:lpstr>
      <vt:lpstr>Liquiditätsplan Jahr 2</vt:lpstr>
      <vt:lpstr>Liquiditätsplan Jahr 3</vt:lpstr>
      <vt:lpstr>Liquiditätsplan Jahr 4</vt:lpstr>
      <vt:lpstr>Liquiditätsplan Jahr 5</vt:lpstr>
      <vt:lpstr>Hauptübersicht!Druckbereich</vt:lpstr>
      <vt:lpstr>'Input Eröffnungsbilanz'!Druckbereich</vt:lpstr>
      <vt:lpstr>'Input Finanzierung'!Druckbereich</vt:lpstr>
      <vt:lpstr>'Input Geschäftsgang'!Druckbereich</vt:lpstr>
      <vt:lpstr>'Liquiditätsplan Jahr 1'!Druckbereich</vt:lpstr>
      <vt:lpstr>'Liquiditätsplan Jahr 2'!Druckbereich</vt:lpstr>
      <vt:lpstr>'Liquiditätsplan Jahr 3'!Druckbereich</vt:lpstr>
      <vt:lpstr>'Liquiditätsplan Jahr 4'!Druckbereich</vt:lpstr>
      <vt:lpstr>'Liquiditätsplan Jahr 5'!Druckbereich</vt:lpstr>
      <vt:lpstr>'Output Kennzahlen'!Druckbereich</vt:lpstr>
      <vt:lpstr>'Output Mittelflussrechnung'!Druckbereich</vt:lpstr>
      <vt:lpstr>'Output Planbilanz'!Druckbereich</vt:lpstr>
      <vt:lpstr>'Output Planerfolgsrechnung'!Druckbereich</vt:lpstr>
      <vt:lpstr>'Liquiditätsplan Jahr 1'!Drucktitel</vt:lpstr>
      <vt:lpstr>'Liquiditätsplan Jahr 2'!Drucktitel</vt:lpstr>
      <vt:lpstr>'Liquiditätsplan Jahr 3'!Drucktitel</vt:lpstr>
      <vt:lpstr>'Liquiditätsplan Jahr 4'!Drucktitel</vt:lpstr>
      <vt:lpstr>'Liquiditätsplan Jahr 5'!Drucktitel</vt:lpstr>
    </vt:vector>
  </TitlesOfParts>
  <Manager>LPDDD</Manager>
  <Company>Zürcher Kantonalbank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ZKB KMU Check-up</dc:title>
  <dc:creator>Vorlagenengineering</dc:creator>
  <cp:keywords>Finanzplanung</cp:keywords>
  <dc:description>07.0431.1.1_x000d_
Version 1.2/10.07</dc:description>
  <cp:lastModifiedBy>Administrator</cp:lastModifiedBy>
  <cp:lastPrinted>2008-03-19T08:11:49Z</cp:lastPrinted>
  <dcterms:created xsi:type="dcterms:W3CDTF">2000-09-21T11:45:16Z</dcterms:created>
  <dcterms:modified xsi:type="dcterms:W3CDTF">2016-12-11T19:34:20Z</dcterms:modified>
  <cp:category>Office, Excel</cp:category>
</cp:coreProperties>
</file>